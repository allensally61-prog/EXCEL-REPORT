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FFICE WORKS\13.0 Kigoma_Katavi_Rukwa_WS_Project\WORKING FILE_DESI\continous file\6.0 Project summary\"/>
    </mc:Choice>
  </mc:AlternateContent>
  <xr:revisionPtr revIDLastSave="0" documentId="13_ncr:1_{363703A1-ECA3-4628-8DAE-A4A4CC41C75B}" xr6:coauthVersionLast="47" xr6:coauthVersionMax="47" xr10:uidLastSave="{00000000-0000-0000-0000-000000000000}"/>
  <bookViews>
    <workbookView xWindow="-120" yWindow="-120" windowWidth="29040" windowHeight="15720" activeTab="4" xr2:uid="{40D04667-FBE9-48B6-9227-9C6AC38C8E0F}"/>
  </bookViews>
  <sheets>
    <sheet name="OPTION 01" sheetId="4" r:id="rId1"/>
    <sheet name="OPTION 02" sheetId="6" r:id="rId2"/>
    <sheet name="OPTION 03" sheetId="7" r:id="rId3"/>
    <sheet name="OPTION 04" sheetId="8" r:id="rId4"/>
    <sheet name="OPTION 05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1" i="9" l="1"/>
  <c r="C350" i="9"/>
  <c r="C339" i="9"/>
  <c r="C329" i="9"/>
  <c r="C324" i="9"/>
  <c r="C319" i="9"/>
  <c r="C308" i="9"/>
  <c r="C298" i="9"/>
  <c r="C292" i="9"/>
  <c r="C283" i="9"/>
  <c r="C276" i="9"/>
  <c r="C255" i="9"/>
  <c r="C247" i="9"/>
  <c r="C240" i="9"/>
  <c r="C229" i="9"/>
  <c r="C216" i="9"/>
  <c r="C203" i="9"/>
  <c r="C190" i="9"/>
  <c r="C175" i="9"/>
  <c r="C160" i="9"/>
  <c r="C142" i="9"/>
  <c r="C137" i="9"/>
  <c r="C125" i="9"/>
  <c r="C115" i="9"/>
  <c r="C105" i="9"/>
  <c r="C93" i="9"/>
  <c r="C79" i="9"/>
  <c r="C70" i="9"/>
  <c r="C63" i="9"/>
  <c r="C54" i="9"/>
  <c r="C40" i="9"/>
  <c r="C30" i="9"/>
  <c r="C23" i="9"/>
  <c r="C160" i="6" l="1"/>
  <c r="C142" i="6"/>
  <c r="C137" i="6"/>
  <c r="C125" i="6"/>
  <c r="C115" i="6"/>
  <c r="C105" i="6"/>
  <c r="C93" i="6"/>
  <c r="C79" i="6"/>
  <c r="C70" i="6"/>
  <c r="C63" i="6"/>
  <c r="C54" i="6"/>
  <c r="C40" i="6"/>
  <c r="C30" i="6"/>
  <c r="C23" i="6"/>
  <c r="C160" i="4" l="1"/>
  <c r="C142" i="4"/>
  <c r="C137" i="4"/>
  <c r="C125" i="4"/>
  <c r="C115" i="4"/>
  <c r="C105" i="4"/>
  <c r="C93" i="4"/>
  <c r="C79" i="4"/>
  <c r="C70" i="4"/>
  <c r="C63" i="4"/>
  <c r="C54" i="4"/>
  <c r="C40" i="4"/>
  <c r="C30" i="4"/>
  <c r="C23" i="4"/>
  <c r="C71" i="8" l="1"/>
  <c r="C61" i="8"/>
  <c r="C36" i="8"/>
  <c r="C14" i="8"/>
  <c r="C368" i="8"/>
  <c r="C357" i="8"/>
  <c r="C346" i="8"/>
  <c r="C336" i="8"/>
  <c r="C331" i="8"/>
  <c r="C326" i="8"/>
  <c r="C315" i="8"/>
  <c r="C305" i="8"/>
  <c r="C299" i="8"/>
  <c r="C291" i="8"/>
  <c r="C285" i="8"/>
  <c r="C268" i="8"/>
  <c r="C251" i="8"/>
  <c r="C243" i="8"/>
  <c r="C238" i="8"/>
  <c r="C229" i="8"/>
  <c r="C218" i="8"/>
  <c r="C206" i="8"/>
  <c r="C193" i="8"/>
  <c r="C179" i="8"/>
  <c r="C160" i="8"/>
  <c r="C142" i="8"/>
  <c r="C137" i="8"/>
  <c r="C125" i="8"/>
  <c r="C115" i="8"/>
  <c r="C104" i="8"/>
  <c r="C92" i="8"/>
  <c r="C79" i="8"/>
  <c r="C44" i="8"/>
  <c r="C24" i="8"/>
  <c r="C327" i="7"/>
  <c r="C292" i="7"/>
  <c r="C269" i="7" l="1"/>
  <c r="C257" i="7"/>
  <c r="C247" i="7"/>
  <c r="C238" i="7"/>
  <c r="C225" i="7"/>
  <c r="C367" i="6"/>
  <c r="C356" i="6"/>
  <c r="C196" i="7"/>
  <c r="C212" i="7"/>
  <c r="C309" i="7"/>
  <c r="C304" i="7"/>
  <c r="C281" i="7"/>
  <c r="C203" i="7"/>
  <c r="C165" i="7"/>
  <c r="C185" i="7" l="1"/>
  <c r="C175" i="7"/>
  <c r="C170" i="7"/>
  <c r="C153" i="7"/>
  <c r="C143" i="7"/>
  <c r="C137" i="7"/>
  <c r="C129" i="7"/>
  <c r="C123" i="7"/>
  <c r="C106" i="7"/>
  <c r="C89" i="7"/>
  <c r="C81" i="7"/>
  <c r="C76" i="7"/>
  <c r="C67" i="7"/>
  <c r="C56" i="7"/>
  <c r="C44" i="7"/>
  <c r="C31" i="7"/>
  <c r="C17" i="7"/>
  <c r="C335" i="6"/>
  <c r="C345" i="6"/>
  <c r="C330" i="6"/>
  <c r="C325" i="6"/>
  <c r="C314" i="6"/>
  <c r="C304" i="6"/>
  <c r="C298" i="6"/>
  <c r="C284" i="6"/>
  <c r="C290" i="6"/>
  <c r="C267" i="6" l="1"/>
  <c r="C250" i="6"/>
  <c r="C242" i="6"/>
  <c r="C237" i="6"/>
  <c r="C228" i="6"/>
  <c r="C217" i="6"/>
  <c r="C205" i="6"/>
  <c r="C192" i="6"/>
  <c r="C178" i="6"/>
  <c r="C289" i="4" l="1"/>
  <c r="C277" i="4"/>
  <c r="C266" i="4"/>
  <c r="C255" i="4"/>
  <c r="C245" i="4"/>
  <c r="C238" i="4"/>
  <c r="C228" i="4"/>
  <c r="C222" i="4"/>
  <c r="C210" i="4"/>
  <c r="C196" i="4"/>
  <c r="C189" i="4"/>
  <c r="C413" i="4"/>
  <c r="C397" i="4"/>
  <c r="C380" i="4" l="1"/>
  <c r="C372" i="4"/>
  <c r="C367" i="4"/>
  <c r="C358" i="4"/>
  <c r="C347" i="4"/>
  <c r="C335" i="4"/>
  <c r="C322" i="4"/>
  <c r="C308" i="4"/>
</calcChain>
</file>

<file path=xl/sharedStrings.xml><?xml version="1.0" encoding="utf-8"?>
<sst xmlns="http://schemas.openxmlformats.org/spreadsheetml/2006/main" count="1952" uniqueCount="463">
  <si>
    <t>S/N</t>
  </si>
  <si>
    <t>Raw water high-lift pump</t>
  </si>
  <si>
    <t>Operating time</t>
  </si>
  <si>
    <t>Raw water sump</t>
  </si>
  <si>
    <t>a. Raw water pump station</t>
  </si>
  <si>
    <t>DI-DN1400-PN10</t>
  </si>
  <si>
    <t>DI-DN1400-PN25</t>
  </si>
  <si>
    <t>WTP capacity</t>
  </si>
  <si>
    <t>DI-DN1200-PN25</t>
  </si>
  <si>
    <t>Length (m)</t>
  </si>
  <si>
    <t>DI-DN600-PN16</t>
  </si>
  <si>
    <t>PROJECT SUMMARY - OPTION 01</t>
  </si>
  <si>
    <t>LT-WATSAN  PROJECT</t>
  </si>
  <si>
    <t>24hrs</t>
  </si>
  <si>
    <t xml:space="preserve"> high-lift pump</t>
  </si>
  <si>
    <t>DI-DN900-PN25</t>
  </si>
  <si>
    <t>High-lift pump</t>
  </si>
  <si>
    <t>Sump capacity</t>
  </si>
  <si>
    <t>24 hrs</t>
  </si>
  <si>
    <t>Rusesa storage tank</t>
  </si>
  <si>
    <t>Milala storage tank</t>
  </si>
  <si>
    <t>Inyonga storage tank</t>
  </si>
  <si>
    <t>Msanginya tank</t>
  </si>
  <si>
    <t>SAMAZI INTAKE</t>
  </si>
  <si>
    <t>SAMAZI WTP</t>
  </si>
  <si>
    <t>Matai storage tank</t>
  </si>
  <si>
    <t>b. Raw water rising main to Samazi WTP</t>
  </si>
  <si>
    <t>DI-DN3000-PN50</t>
  </si>
  <si>
    <t>DI-DN900-PN30</t>
  </si>
  <si>
    <t>DI-DN900-PN16</t>
  </si>
  <si>
    <t>Masanza storage tank</t>
  </si>
  <si>
    <t>Kakonko storage tank</t>
  </si>
  <si>
    <t>Sub-total</t>
  </si>
  <si>
    <t>Intake Capacity</t>
  </si>
  <si>
    <t>a. WTP capacity</t>
  </si>
  <si>
    <t>b. Rising main from samazi WTP to Kafukoka BPS 01</t>
  </si>
  <si>
    <t>KAFUKOKA BPS 01</t>
  </si>
  <si>
    <t>Clear water tank</t>
  </si>
  <si>
    <t>a. Kafukoka booster pump station 01</t>
  </si>
  <si>
    <t>MKOWE BPS 02</t>
  </si>
  <si>
    <t>a. Mkowe booster pump station 02</t>
  </si>
  <si>
    <t>b. Rising main from BPS 02 to Mkowe BPS 03</t>
  </si>
  <si>
    <t>MATANGA BPS 03</t>
  </si>
  <si>
    <t>c. Matanga storage tank</t>
  </si>
  <si>
    <t>DI-DN1800-PN40</t>
  </si>
  <si>
    <t>GRAVITY MAIN FROM SUMBAWANGA DC  JUNCTION TO MATAI JUNCTION</t>
  </si>
  <si>
    <t>GRAVITY MAIN FROM MATANGA  ST TO SUMBAWANGA DC JUNCTION</t>
  </si>
  <si>
    <t>DI-DN1400-PN16</t>
  </si>
  <si>
    <t>DI-DN1400-PN30</t>
  </si>
  <si>
    <t>DI-DN1400-PN40</t>
  </si>
  <si>
    <t>DI-DN1400-PN50</t>
  </si>
  <si>
    <t>DI-DN1400-PN60</t>
  </si>
  <si>
    <r>
      <t>V = 10,000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</si>
  <si>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DI-DN1200-PN10</t>
  </si>
  <si>
    <t>DI-DN1200-PN16</t>
  </si>
  <si>
    <t>DI-DN1200-PN30</t>
  </si>
  <si>
    <t>DI-DN1200-PN40</t>
  </si>
  <si>
    <t>SUMBAWANGA MC JUNCTION TO CHALA ST</t>
  </si>
  <si>
    <t>GRAVITY MAIN FROM SUMBAWANGA DC  JUNCTION TO SUMBAWANGA DC LUSAKA ST</t>
  </si>
  <si>
    <t>SHUKULA KAREMA INTAKE</t>
  </si>
  <si>
    <t>SHUKULA KAREMA WTP</t>
  </si>
  <si>
    <t>b. Raw water rising main to Shukula Karema WTP</t>
  </si>
  <si>
    <t>Kasekese storage tank</t>
  </si>
  <si>
    <t>DI-DN3000-PN40</t>
  </si>
  <si>
    <t>GRAVITY MAIN FROM KASEKESE ST TO KAYENZE BPS</t>
  </si>
  <si>
    <t>a. Kayenze booster station BPS</t>
  </si>
  <si>
    <t>KAYENZE BPS</t>
  </si>
  <si>
    <t>b. Kayenze BPS to Kayenze ST</t>
  </si>
  <si>
    <t>c. Kayenze Storage Tank</t>
  </si>
  <si>
    <t>DI-DN1600-PN30</t>
  </si>
  <si>
    <t>DI-DN1600-PN40</t>
  </si>
  <si>
    <t>DI-DN1600-PN50</t>
  </si>
  <si>
    <t>GRAVITY MAIN FROM KAYENZE ST TO MPANDA JUNCTION 02</t>
  </si>
  <si>
    <r>
      <t>48,000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</si>
  <si>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GRAVITY MAIN FROM MPANDA JUNCTION 02 TO MILALA ST</t>
  </si>
  <si>
    <t>DI-DN1200-PN50</t>
  </si>
  <si>
    <r>
      <t>28,000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</si>
  <si>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DI-DN900-PN50</t>
  </si>
  <si>
    <t>DI-DN900-PN10</t>
  </si>
  <si>
    <t>DI-DN900-PN40</t>
  </si>
  <si>
    <r>
      <t>17,000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</si>
  <si>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KIZI BPS </t>
  </si>
  <si>
    <t xml:space="preserve">a. Kizi booster pump station </t>
  </si>
  <si>
    <t>b. Rising main from Kizi BPS to Kizi ST</t>
  </si>
  <si>
    <t>c. Kizi storage tank</t>
  </si>
  <si>
    <t>GRAVITY MAIN FROM KIZI ST TO MAJIMOTO ST</t>
  </si>
  <si>
    <t>Majimoto storage tank</t>
  </si>
  <si>
    <t>RUKWA  OPTION</t>
  </si>
  <si>
    <t>KATAVI OPTION</t>
  </si>
  <si>
    <t xml:space="preserve">KIGOMA  OPTION </t>
  </si>
  <si>
    <t>KASEKE INTAKE</t>
  </si>
  <si>
    <t>b. Raw water rising main to Kaseke  WTP</t>
  </si>
  <si>
    <t>DI-DN2200-PN10</t>
  </si>
  <si>
    <t>KASEKE WTP</t>
  </si>
  <si>
    <t>DI-DN2200-PN40</t>
  </si>
  <si>
    <t>DI-DN2200-PN50</t>
  </si>
  <si>
    <t>RISING MAIN FROM SIMBO JUNCTION TO SIMBO ST</t>
  </si>
  <si>
    <t>RISING MAIN FROM KASEKE WTP TO SIMBO JUNCTION</t>
  </si>
  <si>
    <t>Simbo storage tank</t>
  </si>
  <si>
    <t>GRAVITY MAIN FROM RUSESA ST TO NYUMBIGWA JUNCTION</t>
  </si>
  <si>
    <t>DI-DN2000-PN25</t>
  </si>
  <si>
    <t>GRAVITY MAIN FROM NYUMBIGWA JUNCTION TO MASANZA UVINZA</t>
  </si>
  <si>
    <r>
      <t>15,000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</si>
  <si>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GRAVITY MAIN FROM NYUMBIGWA JUNCTION TO KASULU BPS</t>
  </si>
  <si>
    <t>RISING MAIN FROM SIMBO JUNCTION TO RUSESA BPS</t>
  </si>
  <si>
    <t>DI-DN2000-PN10</t>
  </si>
  <si>
    <t>DI-DN2000-PN16</t>
  </si>
  <si>
    <t>RUSESA BPS</t>
  </si>
  <si>
    <t>a. Rusesa booster station BPS</t>
  </si>
  <si>
    <t>b. Rising main from Rusesa BPS to Rusesa ST</t>
  </si>
  <si>
    <t>a. Kasulu booster station BPS</t>
  </si>
  <si>
    <r>
      <t>H = 325 m, (6W+3S)@1,145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1.24 m/s</t>
    </r>
  </si>
  <si>
    <r>
      <t>V = 28,000 m</t>
    </r>
    <r>
      <rPr>
        <vertAlign val="superscript"/>
        <sz val="11"/>
        <color theme="1"/>
        <rFont val="Calibri"/>
        <family val="2"/>
        <scheme val="minor"/>
      </rPr>
      <t>3</t>
    </r>
  </si>
  <si>
    <t>b. Rising main from Kasulu BPS to Heru juu ST</t>
  </si>
  <si>
    <r>
      <t>42,000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</si>
  <si>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c. Heru juu storage tank</t>
  </si>
  <si>
    <t>Kasulu BPS</t>
  </si>
  <si>
    <t>GRAVITY MAIN FROM HERU JUU ST TO HERU JUU JUNCTION</t>
  </si>
  <si>
    <t>GRAVITY MAIN FROM HERU JUU JUNCTION TO KITAMBUKA BPS</t>
  </si>
  <si>
    <t>a. Kitambuka booster station BPS</t>
  </si>
  <si>
    <t>KITAMBUKA BPS</t>
  </si>
  <si>
    <t>b. Rising main from Kitambuka BPS to Kitambuka ST junction</t>
  </si>
  <si>
    <t>c. Rising main from Kitambuka  ST junction to Kitambuka ST</t>
  </si>
  <si>
    <t>d. Rising main from Kitambuka  junction to Manyovu ST</t>
  </si>
  <si>
    <t>DI-DN600-PN10</t>
  </si>
  <si>
    <t>DI-DN1000-PN10</t>
  </si>
  <si>
    <t>DI-DN1000-PN16</t>
  </si>
  <si>
    <t>DI-DN1000-PN25</t>
  </si>
  <si>
    <t>DI-DN1000-PN30</t>
  </si>
  <si>
    <t>DI-DN1000-PN40</t>
  </si>
  <si>
    <t>DI-DN1000-PN50</t>
  </si>
  <si>
    <t>DI-DN1000-PN60</t>
  </si>
  <si>
    <r>
      <t>7,000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</si>
  <si>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GRAVITY MAIN FROM KIBONDO JUNCTION 01 TO KIBONDO NEW ST</t>
  </si>
  <si>
    <t>GRAVITY MAIN FROM HERU JUU JUNCTION TO KIBONDO JUNCTION 01</t>
  </si>
  <si>
    <t>DI-DN700-PN16</t>
  </si>
  <si>
    <t>GRAVITY MAIN FROM KIBONDO JUNCTION 01 TO JUNCTION 02</t>
  </si>
  <si>
    <t>GRAVITY MAIN FROM KIBONDO JUNCTION 02 TO KIBONDO EXISTING ST</t>
  </si>
  <si>
    <t>GRAVITY MAIN FROM KIBONDO JUNCTION 02 TO KAKOKONKO ST</t>
  </si>
  <si>
    <r>
      <t>6,000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</si>
  <si>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RISING MAIN FROM SHAKULA KAREMA WTP TO KASEKESE ST</t>
  </si>
  <si>
    <t>GRAVITY MAIN FROM MPANDA JUNCTION 1 TO MPANDA JUNCTION 2</t>
  </si>
  <si>
    <t>GRAVITY MAIN FROM MPANDA JUNCTION 1 TO MSANGINYA JUNCTION</t>
  </si>
  <si>
    <t>GRAVITY MAIN FROM MSANGINYA JUNCTION TO MSANGINYA ST</t>
  </si>
  <si>
    <t>GRAVITY MAIN FROM MSANGINYA JUNCTION TO INYONGA ST</t>
  </si>
  <si>
    <t>GRAVITY MAIN FROM MPANDA JUNCTION 01 TO KIZI BPS</t>
  </si>
  <si>
    <t>b. Rising main from Kafukoka BPS 01 to Mkowe BPS 2</t>
  </si>
  <si>
    <t>a. Matanga booster pump station 03</t>
  </si>
  <si>
    <t>b. Rising main from BPS 03 to Matanga ST</t>
  </si>
  <si>
    <t>Lusaka storage tank</t>
  </si>
  <si>
    <r>
      <t>33,000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</si>
  <si>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GRAVITY MAIN FROM MATAI JUNCTION TO MATAI ST</t>
  </si>
  <si>
    <t>SUMBAWANGA MC JUNCTION TO SUMBAWANGA MPONDA BPS</t>
  </si>
  <si>
    <t>SUMBAWANGA MPONDA BPS</t>
  </si>
  <si>
    <t>b. Rising main from Mponda BPS to Mponda ST</t>
  </si>
  <si>
    <r>
      <t>21,000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</si>
  <si>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H = 55 m, (4W+2S)@1,171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 m/s</t>
    </r>
  </si>
  <si>
    <t>Mponda storage tank</t>
  </si>
  <si>
    <t>GRAVITY MAIN FROM MATAI JUNCTION TO SUMBAWANGA MC JUNCTION</t>
  </si>
  <si>
    <r>
      <t>V = 5,000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</si>
  <si>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128 m, (4W+2S)@594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0.84 m/s</t>
    </r>
  </si>
  <si>
    <t>d. Kitambuka storage tank</t>
  </si>
  <si>
    <t>c. Manyovu storage tank</t>
  </si>
  <si>
    <t>New Kibondo storage tank</t>
  </si>
  <si>
    <t>DI-DN500-PN10</t>
  </si>
  <si>
    <t>Exising Kibondo storage tank</t>
  </si>
  <si>
    <r>
      <t>1,000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</si>
  <si>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8,000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</si>
  <si>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PROJECT SUMMARY - OPTION 02</t>
  </si>
  <si>
    <r>
      <t>1,218,118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</si>
  <si>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V = 102,000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</si>
  <si>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1,132,849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</si>
  <si>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V = 190,000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</si>
  <si>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DI-DN4000-PN10</t>
  </si>
  <si>
    <t>DI-DN4000-PN16</t>
  </si>
  <si>
    <t>DI-DN4000-PN25</t>
  </si>
  <si>
    <t>DI-DN4000-PN30</t>
  </si>
  <si>
    <t>DI-DN4000-PN40</t>
  </si>
  <si>
    <r>
      <t>H = 328 m, (22W+11S)@2,146m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1.04 m/s</t>
    </r>
  </si>
  <si>
    <r>
      <t>H = 300 m, (24W+12S)@2,115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</t>
    </r>
  </si>
  <si>
    <r>
      <t>H = 315m, (22W+11S)@2,146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1.04 m/s</t>
    </r>
  </si>
  <si>
    <r>
      <t>V = 100,000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</si>
  <si>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240 m, (22W+11S)@2,146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1.04 m/s</t>
    </r>
  </si>
  <si>
    <r>
      <t>H = 235 m, (22W+11S)@2,149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1.04 m/s</t>
    </r>
  </si>
  <si>
    <r>
      <t>284,000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</si>
  <si>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DI-DN3800-PN30</t>
  </si>
  <si>
    <t>DI-DN3800-PN40</t>
  </si>
  <si>
    <t>DI-DN3600-PN40</t>
  </si>
  <si>
    <t>DI-DN3400-PN25</t>
  </si>
  <si>
    <t>DI-DN3400-PN30</t>
  </si>
  <si>
    <t>DI-DN3400-PN40</t>
  </si>
  <si>
    <t>DI-DN3400-PN50</t>
  </si>
  <si>
    <t>GRAVITY MAIN FROM SUMBAWANGA MC JUNCTION TO CHALA JUNCTION</t>
  </si>
  <si>
    <t>GRAVITY MAIN FROM CHALA JUNCTION TO CHALA ST</t>
  </si>
  <si>
    <t>GRAVITY MAIN FROM SUMBAWANGA MC JUNCTION TO SUMBAWANGA MPONDA BPS</t>
  </si>
  <si>
    <t>DI-DN1200-PN70</t>
  </si>
  <si>
    <t>DI-DN1200-PN80</t>
  </si>
  <si>
    <t>GRAVITY MAIN FROM CHALA JUNCTION TO KIZI JUNCTION</t>
  </si>
  <si>
    <t>DI-DN3000-PN60</t>
  </si>
  <si>
    <t>DI-DN3000-PN70</t>
  </si>
  <si>
    <t>DI-DN3000-PN80</t>
  </si>
  <si>
    <t>GRAVITY MAIN FROM KIZI JUNCTION TO KIZI BPT</t>
  </si>
  <si>
    <t>DI-DN1200-PN90</t>
  </si>
  <si>
    <t>GRAVITY MAIN FROM KIZI JUNCTION TO MPANDA JUNCTION 1</t>
  </si>
  <si>
    <t>Kizi BPT</t>
  </si>
  <si>
    <r>
      <t>5,000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</si>
  <si>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GRAVITY MAIN FROM KIZI BPT TO MAJIMOTO ST</t>
  </si>
  <si>
    <t>Majimoto ST</t>
  </si>
  <si>
    <r>
      <t>30,000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</si>
  <si>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DI-DN2800-PN70</t>
  </si>
  <si>
    <t>DI-DN2800-PN80</t>
  </si>
  <si>
    <t>DI-DN2800-PN90</t>
  </si>
  <si>
    <t>DI-DN2800-PN100</t>
  </si>
  <si>
    <t>DI-DN2800-PN110</t>
  </si>
  <si>
    <t>DI-DN2800-PN120</t>
  </si>
  <si>
    <t>GRAVITY MAIN FROM MPANDA JUNCTION 1 TO MSAGINYA JUNCTION</t>
  </si>
  <si>
    <t>DI-DN1600-PN100</t>
  </si>
  <si>
    <t>DI-DN1600-PN110</t>
  </si>
  <si>
    <t>DI-DN1200-PN100</t>
  </si>
  <si>
    <t>DI-DN900-PN70</t>
  </si>
  <si>
    <t>DI-DN900-PN80</t>
  </si>
  <si>
    <t>DI-DN900-PN90</t>
  </si>
  <si>
    <t>DI-DN900-PN100</t>
  </si>
  <si>
    <t>DI-DN900-PN110</t>
  </si>
  <si>
    <t>GRAVITY MAIN FROM MSAGINYA JUNCTION TO MSAGINYA ST</t>
  </si>
  <si>
    <t>GRAVITY MAIN FROM MSAGINYA JUNCTION TO INYONGA ST</t>
  </si>
  <si>
    <t>DI-DN2400-PN110</t>
  </si>
  <si>
    <t>GRAVITY MAIN FROM MPANDA JUNCTION 2 TO MILALA ST</t>
  </si>
  <si>
    <t>DI-DN1600-PN70</t>
  </si>
  <si>
    <t>DI-DN1600-PN80</t>
  </si>
  <si>
    <t>DI-DN1600-PN90</t>
  </si>
  <si>
    <t>Kayenze Storage Tank</t>
  </si>
  <si>
    <t>GRAVITY MAIN FROM MPANDA JUNCTION 2 TO KAYENZE ST</t>
  </si>
  <si>
    <t>KATAVI AND RUKWA  COMMON INTAKE OPTION</t>
  </si>
  <si>
    <r>
      <t>52,000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</si>
  <si>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DI-DN1600-PN60</t>
  </si>
  <si>
    <t>KIGOMA, KATAVI AND RUKWA  COMMON INTAKE OPTION</t>
  </si>
  <si>
    <r>
      <t>1,570,609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</si>
  <si>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300 m, (28W+14S)@2,337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0.96 m/s</t>
    </r>
  </si>
  <si>
    <r>
      <t>1,460,666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</si>
  <si>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328 m, (26W+13S)@2,341m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1.02m/s</t>
    </r>
  </si>
  <si>
    <r>
      <t>V = 310,000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</si>
  <si>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V = 130,000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</si>
  <si>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DI-DN5000-PN10</t>
  </si>
  <si>
    <t>DI-DN5000-PN16</t>
  </si>
  <si>
    <t>DI-DN5000-PN25</t>
  </si>
  <si>
    <t>DI-DN5000-PN30</t>
  </si>
  <si>
    <t>DI-DN5000-PN40</t>
  </si>
  <si>
    <t>DI-DN4600-PN10</t>
  </si>
  <si>
    <t>DI-DN4600-PN16</t>
  </si>
  <si>
    <t>DI-DN4600-PN25</t>
  </si>
  <si>
    <t>DI-DN4600-PN30</t>
  </si>
  <si>
    <t>DI-DN4600-PN40</t>
  </si>
  <si>
    <r>
      <t>H = 315m, (26W+13S)@2,341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1.02 m/s</t>
    </r>
  </si>
  <si>
    <r>
      <t>H = 237 m, (26W+13S)@2,341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1.02 m/s</t>
    </r>
  </si>
  <si>
    <r>
      <t>H = 235 m, (26W+13S)@2,341m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1.02 m/s</t>
    </r>
  </si>
  <si>
    <r>
      <t>365,000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</si>
  <si>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DI-DN4400-PN30</t>
  </si>
  <si>
    <t>DI-DN4400-PN40</t>
  </si>
  <si>
    <t>DI-DN4200-PN40</t>
  </si>
  <si>
    <t>DI-DN4000-PN50</t>
  </si>
  <si>
    <t>DI-DN3800-PN50</t>
  </si>
  <si>
    <t>DI-DN3800-PN60</t>
  </si>
  <si>
    <t>DI-DN3800-PN70</t>
  </si>
  <si>
    <t>DI-DN3800-PN80</t>
  </si>
  <si>
    <t>DI-DN3600-PN70</t>
  </si>
  <si>
    <t>DI-DN3600-PN80</t>
  </si>
  <si>
    <t>DI-DN3600-PN90</t>
  </si>
  <si>
    <t>DI-DN3600-PN100</t>
  </si>
  <si>
    <t>DI-DN3600-PN110</t>
  </si>
  <si>
    <t>DI-DN3600-PN120</t>
  </si>
  <si>
    <t>DI-DN3600-PN60</t>
  </si>
  <si>
    <t>DI-DN3200-PN110</t>
  </si>
  <si>
    <t>GRAVITY MAIN FROM MPANDA JUNCTION 2 TO KAREMA JUNCTION</t>
  </si>
  <si>
    <t xml:space="preserve">GRAVITY MAIN FROM KAREMA JUNCTION TO MASANZA UVINZA JUNCTION </t>
  </si>
  <si>
    <t>DI-DN2200-PN70</t>
  </si>
  <si>
    <t>DI-DN2200-PN80</t>
  </si>
  <si>
    <t>DI-DN2200-PN90</t>
  </si>
  <si>
    <t>DI-DN2200-PN100</t>
  </si>
  <si>
    <t>DI-DN2200-PN110</t>
  </si>
  <si>
    <t>DI-DN2200-PN60</t>
  </si>
  <si>
    <t>DI-DN1400-PN90</t>
  </si>
  <si>
    <t>GRAVITY MAIN FROM  MASANZA JUNCTION TO NYUMBIGWA UVINZA</t>
  </si>
  <si>
    <t>DI-DN2000-PN60</t>
  </si>
  <si>
    <t>DI-DN2000-PN70</t>
  </si>
  <si>
    <t>DI-DN2000-PN80</t>
  </si>
  <si>
    <t>DI-DN2000-PN90</t>
  </si>
  <si>
    <t>DI-DN2000-PN100</t>
  </si>
  <si>
    <t>DI-DN1000-PN70</t>
  </si>
  <si>
    <t>DI-DN1000-PN80</t>
  </si>
  <si>
    <t>GRAVITY MAIN FROM RUSESA ST JUNCTION TO LOLAWAHA SIMBO ST</t>
  </si>
  <si>
    <r>
      <t>10,000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</si>
  <si>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Lolawaha storage tank</t>
  </si>
  <si>
    <t>DI-DN1400-PN70</t>
  </si>
  <si>
    <t>DI-DN1400-PN80</t>
  </si>
  <si>
    <t>DI-DN800-PN80</t>
  </si>
  <si>
    <t>DI-DN800-PN90</t>
  </si>
  <si>
    <t>DI-DN800-PN100</t>
  </si>
  <si>
    <t>DI-DN800-PN110</t>
  </si>
  <si>
    <t>DI-DN800-PN120</t>
  </si>
  <si>
    <t>GRAVITY MAIN FROM HERU JUU JUNCTION TO HERU JUU ST</t>
  </si>
  <si>
    <t>GRAVITY MAIN FROM HERU JUU JUNCTION TO KITAMBUKA JUNCTION</t>
  </si>
  <si>
    <t>DI-DN900-PN60</t>
  </si>
  <si>
    <t>GRAVITY MAIN FROM KITAMBUKA JUNCTION TO KITAMBUKA ST</t>
  </si>
  <si>
    <t>DI-DN600-PN25</t>
  </si>
  <si>
    <t>DI-DN600-PN30</t>
  </si>
  <si>
    <t>DI-DN600-PN40</t>
  </si>
  <si>
    <t xml:space="preserve"> Heru juu storage tank</t>
  </si>
  <si>
    <t>Kitambuka storage tank</t>
  </si>
  <si>
    <t>GRAVITY MAIN FROM KITAMBUKA JUNCTION TO MANYOVU JUNCTION</t>
  </si>
  <si>
    <t>PROJECT SUMMARY - OPTION 03</t>
  </si>
  <si>
    <t>GRAVITY MAIN FROM NYUMBIGWA JUNCTION TO RUSESA ST JUNCTION</t>
  </si>
  <si>
    <t xml:space="preserve">GRAVITY MAIN FROM NYUMBIGWA JUNCTION TO RUSESA ST </t>
  </si>
  <si>
    <r>
      <t>V = 200,000 m</t>
    </r>
    <r>
      <rPr>
        <vertAlign val="superscript"/>
        <sz val="11"/>
        <color theme="1"/>
        <rFont val="Calibri"/>
        <family val="2"/>
        <scheme val="minor"/>
      </rPr>
      <t>3</t>
    </r>
  </si>
  <si>
    <t>PROJECT SUMMARY - OPTION 04</t>
  </si>
  <si>
    <r>
      <t>H = 98 m, (8W+4S)@1,836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1.073 m/s</t>
    </r>
  </si>
  <si>
    <t>Clear water sump</t>
  </si>
  <si>
    <t>MALAGARASI, MPETA  WTP</t>
  </si>
  <si>
    <r>
      <t>V = 70,000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</si>
  <si>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V = 60,000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</si>
  <si>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327,817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</si>
  <si>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t>GRAVITY MAIN FROM MALAGARASI MPETA WTP TO CHAKULU BPS</t>
  </si>
  <si>
    <t>DI-DN2200-PN16</t>
  </si>
  <si>
    <t>b. Raw water rising main to Malagarasi Mpeta B  WTP</t>
  </si>
  <si>
    <t>MALAGARASI-UGALLA CONFLUENCE INTAKE</t>
  </si>
  <si>
    <t>RISING MAIN FROM CHAKULU BPS  TO MASANZA ST</t>
  </si>
  <si>
    <t>CHAKULU BPS</t>
  </si>
  <si>
    <t>a. Chakulu booster station BPS</t>
  </si>
  <si>
    <r>
      <t>H = 150 m, (8W+4S)@1,717m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1.00 m/s</t>
    </r>
  </si>
  <si>
    <r>
      <t>V = 50,000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</si>
  <si>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DI-DN2200-PN25</t>
  </si>
  <si>
    <t>DI-DN2200-PN30</t>
  </si>
  <si>
    <t>GRAVITY MAIN FROM MASANZA ST TO MUTINDE BPS</t>
  </si>
  <si>
    <t>MUTINDE BPS</t>
  </si>
  <si>
    <t>a. Mutinde booster pump station BPS Pumping to Rusesa ST</t>
  </si>
  <si>
    <t>b. Mutinde booster pump station BPS Pumping to Kasulu BPS</t>
  </si>
  <si>
    <r>
      <t>H = 285 m, (6W+3S)@739m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1.09 m/s</t>
    </r>
  </si>
  <si>
    <r>
      <t>V = 25,000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</si>
  <si>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220 m, (6W+3S)@1,145m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1.24 m/s</t>
    </r>
  </si>
  <si>
    <t>GRAVITY MAIN FROM MUTINDE BPS TO RUSESA ST</t>
  </si>
  <si>
    <t>GRAVITY MAIN FROM RUSESA ST TO LOLAWAHA SIMBO ST</t>
  </si>
  <si>
    <t>RISING MAIN FROM MUTINDE BPS TO KASULU BPS</t>
  </si>
  <si>
    <r>
      <t>V = 120,000 m</t>
    </r>
    <r>
      <rPr>
        <vertAlign val="superscript"/>
        <sz val="11"/>
        <color theme="1"/>
        <rFont val="Calibri"/>
        <family val="2"/>
        <scheme val="minor"/>
      </rPr>
      <t>3</t>
    </r>
  </si>
  <si>
    <t>GRAVITY MAIN FROM NYUMBIGWA JUNCTION TO HERU JUU JUNCTION</t>
  </si>
  <si>
    <r>
      <t>352,492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</si>
  <si>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90,000 m</t>
    </r>
    <r>
      <rPr>
        <vertAlign val="superscript"/>
        <sz val="11"/>
        <color theme="1"/>
        <rFont val="Calibri"/>
        <family val="2"/>
        <scheme val="minor"/>
      </rPr>
      <t>3</t>
    </r>
  </si>
  <si>
    <t>KISAMBALA KIRANDO INTAKE</t>
  </si>
  <si>
    <t>KISAMBALA KIRANDO WTP</t>
  </si>
  <si>
    <t>b. Rising main from Kisambala WTP to Lwafi-Katongoro BPS 01</t>
  </si>
  <si>
    <t>LWAFI-KATONGORO BPS 01</t>
  </si>
  <si>
    <t>Mfili BPS 02</t>
  </si>
  <si>
    <t>a. Mfili booster pump station 02</t>
  </si>
  <si>
    <t>b. Rising main from Lwafi-Katongoro BPS 01 to Mfili BPS 02</t>
  </si>
  <si>
    <t>b. Rising main from Mfili BPS 02 to Chala BPS 03</t>
  </si>
  <si>
    <t>Chala BPS 03</t>
  </si>
  <si>
    <t>a. Chala booster pump station 03</t>
  </si>
  <si>
    <t>b. Rising main from Chala BPS 03 to Chala ST</t>
  </si>
  <si>
    <t>c. Chala storage tank</t>
  </si>
  <si>
    <t>GRAVITY MAIN FROM CHALA  ST TO CHALA JUNCTION</t>
  </si>
  <si>
    <t>GRAVITY MAIN FROM  CHALA JUNCTION TO  SUMBAWANGA MC JUNCTION</t>
  </si>
  <si>
    <t>GRAVITY MAIN FROM SUMBAWANGA MC JUNCTION TO  MATAI JUNCTION</t>
  </si>
  <si>
    <t>GRAVITY MAIN FROM MATAI  JUNCTION TO SUMBAWANGA DC LUSAKA ST</t>
  </si>
  <si>
    <t>PROJECT SUMMARY - OPTION 05</t>
  </si>
  <si>
    <r>
      <t>H = 35 m, (2W+1S)@2,313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1.16 m/s</t>
    </r>
  </si>
  <si>
    <t>22hrs</t>
  </si>
  <si>
    <r>
      <t>101,778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</si>
  <si>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V = 15,000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</si>
  <si>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94,653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</si>
  <si>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t>22 hrs</t>
  </si>
  <si>
    <r>
      <t>H = 405 m, (6W+3S)@717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1.057 m/s</t>
    </r>
  </si>
  <si>
    <t>DI-DN450-PN16</t>
  </si>
  <si>
    <t>DI-DN450-PN25</t>
  </si>
  <si>
    <t>DI-DN450-PN30</t>
  </si>
  <si>
    <t>DI-DN450-PN40</t>
  </si>
  <si>
    <r>
      <t>3,000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</si>
  <si>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330 m, (6W+2S)@629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0.927 m/s</t>
    </r>
  </si>
  <si>
    <r>
      <t>V = 12,000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</si>
  <si>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20,000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</si>
  <si>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DI-DN500-PN25</t>
  </si>
  <si>
    <t>DI-DN500-PN30</t>
  </si>
  <si>
    <t>DI-DN500-PN40</t>
  </si>
  <si>
    <t>DI-DN500-PN16</t>
  </si>
  <si>
    <r>
      <t>V = 6,000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</si>
  <si>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325 m, (4W+2S)@541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0.945 m/s</t>
    </r>
  </si>
  <si>
    <r>
      <t>12,000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</si>
  <si>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DI-DN700-PN10</t>
  </si>
  <si>
    <t>DI-DN350-PN10</t>
  </si>
  <si>
    <r>
      <t>3,000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</si>
  <si>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2,000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</si>
  <si>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152,679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</si>
  <si>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145 m, (6W+3S)@1,157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0.96 m/s</t>
    </r>
  </si>
  <si>
    <t>DI-DN1600-PN10</t>
  </si>
  <si>
    <t>DI-DN1600-PN16</t>
  </si>
  <si>
    <t>DI-DN1600-PN25</t>
  </si>
  <si>
    <r>
      <t>141,991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</si>
  <si>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305 m, (8W+4S)@807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 m/s</t>
    </r>
  </si>
  <si>
    <r>
      <t>V = 30,000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</si>
  <si>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335m, (8W+4S)@807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 m/s</t>
    </r>
  </si>
  <si>
    <r>
      <t>H = 345m, (8W+4S)@807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 m/s</t>
    </r>
  </si>
  <si>
    <r>
      <t>H = 345 m, (8W+4S)@807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 m/s</t>
    </r>
  </si>
  <si>
    <r>
      <t>40,000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</si>
  <si>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85 m, (1W+1S)@856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0.84 m/s</t>
    </r>
  </si>
  <si>
    <r>
      <t>V = 3,000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</si>
  <si>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DI-DN700-PN40</t>
  </si>
  <si>
    <t>DI-DN600-PN50</t>
  </si>
  <si>
    <t>DI-DN600-PN60</t>
  </si>
  <si>
    <r>
      <t>4,000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</si>
  <si>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DI-DN400-PN70</t>
  </si>
  <si>
    <t>DI-DN400-PN80</t>
  </si>
  <si>
    <t>DI-DN400-PN90</t>
  </si>
  <si>
    <t>DI-DN400-PN10</t>
  </si>
  <si>
    <t>DI-DN400-PN16</t>
  </si>
  <si>
    <t>DI-DN400-PN25</t>
  </si>
  <si>
    <t>DI-DN400-PN30</t>
  </si>
  <si>
    <t>DI-DN400-PN40</t>
  </si>
  <si>
    <r>
      <t>5,00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</si>
  <si>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DI-DN900-PN120</t>
  </si>
  <si>
    <t>DI-DN500-PN100</t>
  </si>
  <si>
    <t>DI-DN500-PN110</t>
  </si>
  <si>
    <t>DI-DN400-PN100</t>
  </si>
  <si>
    <t>DI-DN300-PN70</t>
  </si>
  <si>
    <t>DI-DN300-PN80</t>
  </si>
  <si>
    <t>DI-DN300-PN90</t>
  </si>
  <si>
    <t>DI-DN300-PN100</t>
  </si>
  <si>
    <t>DI-DN300-PN110</t>
  </si>
  <si>
    <t>DI-DN500-PN90</t>
  </si>
  <si>
    <t>DI-DN500-PN60</t>
  </si>
  <si>
    <t>DI-DN500-PN70</t>
  </si>
  <si>
    <t>DI-DN500-PN80</t>
  </si>
  <si>
    <r>
      <t>H = 140 m, (2W+1S)@374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1.09 m/s</t>
    </r>
  </si>
  <si>
    <t>DI-DN350-PN16</t>
  </si>
  <si>
    <t>DI-DN450-PN10</t>
  </si>
  <si>
    <t>DI-DN300-PN10</t>
  </si>
  <si>
    <t>DI-DN350-PN25</t>
  </si>
  <si>
    <t>DI-DN350-PN30</t>
  </si>
  <si>
    <t>DI-DN350-PN40</t>
  </si>
  <si>
    <r>
      <t>79,087m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</si>
  <si>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73,550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</si>
  <si>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345 m, (4W+2S)@836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1.182m/s</t>
    </r>
  </si>
  <si>
    <r>
      <t>H = 305 m, (4W+2S)@899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1.27 m/s</t>
    </r>
  </si>
  <si>
    <r>
      <t>V = 8,000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</si>
  <si>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295 m, (4W+2S)@836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1.182m/s</t>
    </r>
  </si>
  <si>
    <r>
      <t>H = 245 m, (4W+2S)@836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1.182m/s</t>
    </r>
  </si>
  <si>
    <t>Chala storage tank</t>
  </si>
  <si>
    <r>
      <t>H = 55 m, (2W+1S)@428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0.84 m/s</t>
    </r>
  </si>
  <si>
    <r>
      <t>V = 2,000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</si>
  <si>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73,593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</si>
  <si>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V = 14,000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</si>
  <si>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75 m, (4W+2S)@836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1.18 m/s</t>
    </r>
  </si>
  <si>
    <r>
      <t>68,441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</si>
  <si>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395 m, (4W+2S)@778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1.01 m/s</t>
    </r>
  </si>
  <si>
    <r>
      <t>H = 405 m, (4W+2S)@778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1.01 m/s</t>
    </r>
  </si>
  <si>
    <r>
      <t>V = 18,000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</si>
  <si>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DI-DN500-PN50</t>
  </si>
  <si>
    <t>DI-DN700-PN50</t>
  </si>
  <si>
    <t>DI-DN500-PN26</t>
  </si>
  <si>
    <t>DI-DN450-PN50</t>
  </si>
  <si>
    <t>DI-DN400-PN50</t>
  </si>
  <si>
    <t>DI-DN450-PN60</t>
  </si>
  <si>
    <r>
      <t>H = 215 m, (1W+1S)@ 536m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1.01 m/s</t>
    </r>
  </si>
  <si>
    <r>
      <t>V = 1,000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</si>
  <si>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V = 2,000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</si>
  <si>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V = 4,000 m</t>
    </r>
    <r>
      <rPr>
        <b/>
        <vertAlign val="superscript"/>
        <sz val="11"/>
        <color theme="1"/>
        <rFont val="Calibri"/>
        <family val="2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</si>
</sst>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5" tint="-0.249977111117893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rgb="FF0070C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0" fillId="3" borderId="0" xfId="0" applyFill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6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3" fontId="11" fillId="0" borderId="1" xfId="1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</cellXfs>
  <cellStyles count="2">
    <cellStyle name="Normal" xfId="0" builtinId="0"/>
    <cellStyle name="Normal 2" xfId="1" xr:uid="{FC699F2E-56E6-4DD7-AA49-18694C9348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4E56-B958-4ACC-8EFF-1BCB8647C8B5}">
  <sheetPr codeName="Sheet1"/>
  <dimension ref="A1:F415"/>
  <sheetViews>
    <sheetView workbookViewId="0">
      <selection activeCell="E15" sqref="E15"/>
    </sheetView>
  </sheetViews>
  <sheetFormatPr defaultRowHeight="15" x14ac:dyDescent="0.25"/>
  <cols>
    <col min="2" max="2" width="80.28515625" customWidth="1"/>
    <col min="3" max="3" width="67.42578125" customWidth="1"/>
  </cols>
  <sheetData>
    <row r="1" spans="1:3" x14ac:dyDescent="0.25">
      <c r="A1" s="20" t="s">
        <v>12</v>
      </c>
      <c r="B1" s="20"/>
      <c r="C1" s="20"/>
    </row>
    <row r="2" spans="1:3" x14ac:dyDescent="0.25">
      <c r="A2" s="5" t="s">
        <v>0</v>
      </c>
      <c r="B2" s="21" t="s">
        <v>11</v>
      </c>
      <c r="C2" s="21"/>
    </row>
    <row r="3" spans="1:3" s="7" customFormat="1" x14ac:dyDescent="0.25">
      <c r="A3" s="6"/>
      <c r="B3" s="22" t="s">
        <v>89</v>
      </c>
      <c r="C3" s="23"/>
    </row>
    <row r="4" spans="1:3" x14ac:dyDescent="0.25">
      <c r="A4" s="1">
        <v>1</v>
      </c>
      <c r="B4" s="2" t="s">
        <v>90</v>
      </c>
      <c r="C4" s="1"/>
    </row>
    <row r="5" spans="1:3" ht="17.25" x14ac:dyDescent="0.25">
      <c r="A5" s="1"/>
      <c r="B5" s="2" t="s">
        <v>33</v>
      </c>
      <c r="C5" s="1" t="s">
        <v>365</v>
      </c>
    </row>
    <row r="6" spans="1:3" x14ac:dyDescent="0.25">
      <c r="A6" s="1"/>
      <c r="B6" s="1" t="s">
        <v>4</v>
      </c>
    </row>
    <row r="7" spans="1:3" x14ac:dyDescent="0.25">
      <c r="A7" s="1"/>
      <c r="B7" s="1" t="s">
        <v>2</v>
      </c>
      <c r="C7" s="1" t="s">
        <v>364</v>
      </c>
    </row>
    <row r="8" spans="1:3" ht="17.25" x14ac:dyDescent="0.25">
      <c r="A8" s="1"/>
      <c r="B8" s="1" t="s">
        <v>1</v>
      </c>
      <c r="C8" s="1" t="s">
        <v>363</v>
      </c>
    </row>
    <row r="9" spans="1:3" ht="17.25" x14ac:dyDescent="0.25">
      <c r="A9" s="1"/>
      <c r="B9" s="1" t="s">
        <v>3</v>
      </c>
      <c r="C9" s="1" t="s">
        <v>366</v>
      </c>
    </row>
    <row r="10" spans="1:3" x14ac:dyDescent="0.25">
      <c r="A10" s="1"/>
      <c r="B10" s="1"/>
      <c r="C10" s="1"/>
    </row>
    <row r="11" spans="1:3" x14ac:dyDescent="0.25">
      <c r="A11" s="1"/>
      <c r="B11" s="1" t="s">
        <v>91</v>
      </c>
      <c r="C11" s="4" t="s">
        <v>9</v>
      </c>
    </row>
    <row r="12" spans="1:3" x14ac:dyDescent="0.25">
      <c r="A12" s="1"/>
      <c r="B12" s="1" t="s">
        <v>53</v>
      </c>
      <c r="C12" s="3">
        <v>750</v>
      </c>
    </row>
    <row r="13" spans="1:3" x14ac:dyDescent="0.25">
      <c r="A13" s="1"/>
      <c r="B13" s="1"/>
      <c r="C13" s="1"/>
    </row>
    <row r="14" spans="1:3" x14ac:dyDescent="0.25">
      <c r="A14" s="1">
        <v>2</v>
      </c>
      <c r="B14" s="2" t="s">
        <v>93</v>
      </c>
      <c r="C14" s="1"/>
    </row>
    <row r="15" spans="1:3" ht="17.25" x14ac:dyDescent="0.25">
      <c r="A15" s="1"/>
      <c r="B15" s="1" t="s">
        <v>7</v>
      </c>
      <c r="C15" s="1" t="s">
        <v>367</v>
      </c>
    </row>
    <row r="16" spans="1:3" x14ac:dyDescent="0.25">
      <c r="A16" s="1"/>
      <c r="B16" s="1" t="s">
        <v>2</v>
      </c>
      <c r="C16" s="1" t="s">
        <v>368</v>
      </c>
    </row>
    <row r="17" spans="1:6" ht="17.25" x14ac:dyDescent="0.25">
      <c r="A17" s="1"/>
      <c r="B17" s="1" t="s">
        <v>14</v>
      </c>
      <c r="C17" s="1" t="s">
        <v>369</v>
      </c>
    </row>
    <row r="18" spans="1:6" ht="17.25" x14ac:dyDescent="0.25">
      <c r="A18" s="1"/>
      <c r="B18" s="1" t="s">
        <v>316</v>
      </c>
      <c r="C18" s="1" t="s">
        <v>366</v>
      </c>
    </row>
    <row r="19" spans="1:6" x14ac:dyDescent="0.25">
      <c r="A19" s="1"/>
      <c r="B19" s="1"/>
      <c r="C19" s="1"/>
    </row>
    <row r="20" spans="1:6" x14ac:dyDescent="0.25">
      <c r="A20" s="1">
        <v>3</v>
      </c>
      <c r="B20" s="2" t="s">
        <v>97</v>
      </c>
      <c r="C20" s="4" t="s">
        <v>9</v>
      </c>
    </row>
    <row r="21" spans="1:6" x14ac:dyDescent="0.25">
      <c r="A21" s="1"/>
      <c r="B21" s="1" t="s">
        <v>56</v>
      </c>
      <c r="C21" s="3">
        <v>2805</v>
      </c>
    </row>
    <row r="22" spans="1:6" x14ac:dyDescent="0.25">
      <c r="A22" s="1"/>
      <c r="B22" s="1" t="s">
        <v>75</v>
      </c>
      <c r="C22" s="3">
        <v>14390</v>
      </c>
      <c r="F22" s="19"/>
    </row>
    <row r="23" spans="1:6" x14ac:dyDescent="0.25">
      <c r="A23" s="1"/>
      <c r="B23" s="10" t="s">
        <v>32</v>
      </c>
      <c r="C23" s="13">
        <f>SUM(C21:C22)</f>
        <v>17195</v>
      </c>
    </row>
    <row r="24" spans="1:6" x14ac:dyDescent="0.25">
      <c r="A24" s="1"/>
      <c r="B24" s="1"/>
      <c r="C24" s="1"/>
    </row>
    <row r="25" spans="1:6" x14ac:dyDescent="0.25">
      <c r="A25" s="1">
        <v>4</v>
      </c>
      <c r="B25" s="2" t="s">
        <v>96</v>
      </c>
      <c r="C25" s="4" t="s">
        <v>9</v>
      </c>
    </row>
    <row r="26" spans="1:6" x14ac:dyDescent="0.25">
      <c r="A26" s="1"/>
      <c r="B26" s="1" t="s">
        <v>370</v>
      </c>
      <c r="C26" s="3">
        <v>395</v>
      </c>
    </row>
    <row r="27" spans="1:6" x14ac:dyDescent="0.25">
      <c r="A27" s="1"/>
      <c r="B27" s="1" t="s">
        <v>371</v>
      </c>
      <c r="C27" s="3">
        <v>895</v>
      </c>
    </row>
    <row r="28" spans="1:6" x14ac:dyDescent="0.25">
      <c r="A28" s="1"/>
      <c r="B28" s="1" t="s">
        <v>372</v>
      </c>
      <c r="C28" s="3">
        <v>305</v>
      </c>
    </row>
    <row r="29" spans="1:6" x14ac:dyDescent="0.25">
      <c r="A29" s="1"/>
      <c r="B29" s="1" t="s">
        <v>373</v>
      </c>
      <c r="C29" s="3">
        <v>235</v>
      </c>
    </row>
    <row r="30" spans="1:6" x14ac:dyDescent="0.25">
      <c r="A30" s="1"/>
      <c r="B30" s="10" t="s">
        <v>32</v>
      </c>
      <c r="C30" s="13">
        <f>SUM(C26:C29)</f>
        <v>1830</v>
      </c>
    </row>
    <row r="31" spans="1:6" x14ac:dyDescent="0.25">
      <c r="A31" s="1"/>
      <c r="B31" s="10"/>
      <c r="C31" s="13"/>
    </row>
    <row r="32" spans="1:6" ht="17.25" x14ac:dyDescent="0.25">
      <c r="A32" s="1"/>
      <c r="B32" s="16" t="s">
        <v>98</v>
      </c>
      <c r="C32" s="9" t="s">
        <v>374</v>
      </c>
    </row>
    <row r="33" spans="1:3" x14ac:dyDescent="0.25">
      <c r="A33" s="1"/>
      <c r="B33" s="1"/>
      <c r="C33" s="1"/>
    </row>
    <row r="34" spans="1:3" x14ac:dyDescent="0.25">
      <c r="A34" s="1">
        <v>5</v>
      </c>
      <c r="B34" s="2" t="s">
        <v>104</v>
      </c>
      <c r="C34" s="4" t="s">
        <v>9</v>
      </c>
    </row>
    <row r="35" spans="1:3" x14ac:dyDescent="0.25">
      <c r="A35" s="1"/>
      <c r="B35" s="1" t="s">
        <v>53</v>
      </c>
      <c r="C35" s="3">
        <v>5376</v>
      </c>
    </row>
    <row r="36" spans="1:3" x14ac:dyDescent="0.25">
      <c r="A36" s="1"/>
      <c r="B36" s="1" t="s">
        <v>54</v>
      </c>
      <c r="C36" s="3">
        <v>3159</v>
      </c>
    </row>
    <row r="37" spans="1:3" x14ac:dyDescent="0.25">
      <c r="A37" s="1"/>
      <c r="B37" s="1" t="s">
        <v>8</v>
      </c>
      <c r="C37" s="3">
        <v>12178</v>
      </c>
    </row>
    <row r="38" spans="1:3" x14ac:dyDescent="0.25">
      <c r="A38" s="1"/>
      <c r="B38" s="1" t="s">
        <v>55</v>
      </c>
      <c r="C38" s="3">
        <v>4585</v>
      </c>
    </row>
    <row r="39" spans="1:3" x14ac:dyDescent="0.25">
      <c r="A39" s="1"/>
      <c r="B39" s="1" t="s">
        <v>56</v>
      </c>
      <c r="C39" s="3">
        <v>5143</v>
      </c>
    </row>
    <row r="40" spans="1:3" x14ac:dyDescent="0.25">
      <c r="A40" s="1"/>
      <c r="B40" s="10" t="s">
        <v>32</v>
      </c>
      <c r="C40" s="13">
        <f>SUM(C35:C39)</f>
        <v>30441</v>
      </c>
    </row>
    <row r="41" spans="1:3" x14ac:dyDescent="0.25">
      <c r="A41" s="1"/>
      <c r="B41" s="1"/>
      <c r="C41" s="1"/>
    </row>
    <row r="42" spans="1:3" x14ac:dyDescent="0.25">
      <c r="A42" s="2">
        <v>6</v>
      </c>
      <c r="B42" s="2" t="s">
        <v>107</v>
      </c>
      <c r="C42" s="3"/>
    </row>
    <row r="43" spans="1:3" x14ac:dyDescent="0.25">
      <c r="A43" s="1"/>
      <c r="B43" s="1" t="s">
        <v>108</v>
      </c>
      <c r="C43" s="3"/>
    </row>
    <row r="44" spans="1:3" ht="17.25" x14ac:dyDescent="0.25">
      <c r="A44" s="1"/>
      <c r="B44" s="1" t="s">
        <v>16</v>
      </c>
      <c r="C44" s="1" t="s">
        <v>375</v>
      </c>
    </row>
    <row r="45" spans="1:3" ht="17.25" x14ac:dyDescent="0.25">
      <c r="A45" s="1"/>
      <c r="B45" s="9" t="s">
        <v>17</v>
      </c>
      <c r="C45" s="1" t="s">
        <v>376</v>
      </c>
    </row>
    <row r="46" spans="1:3" x14ac:dyDescent="0.25">
      <c r="A46" s="1"/>
      <c r="B46" s="1" t="s">
        <v>2</v>
      </c>
      <c r="C46" s="1" t="s">
        <v>368</v>
      </c>
    </row>
    <row r="47" spans="1:3" x14ac:dyDescent="0.25">
      <c r="A47" s="1"/>
      <c r="B47" s="1"/>
      <c r="C47" s="3"/>
    </row>
    <row r="48" spans="1:3" x14ac:dyDescent="0.25">
      <c r="A48" s="1"/>
      <c r="B48" s="1" t="s">
        <v>109</v>
      </c>
      <c r="C48" s="4" t="s">
        <v>9</v>
      </c>
    </row>
    <row r="49" spans="1:3" x14ac:dyDescent="0.25">
      <c r="A49" s="1"/>
      <c r="B49" s="1" t="s">
        <v>53</v>
      </c>
      <c r="C49" s="3">
        <v>298</v>
      </c>
    </row>
    <row r="50" spans="1:3" x14ac:dyDescent="0.25">
      <c r="A50" s="1"/>
      <c r="B50" s="1" t="s">
        <v>54</v>
      </c>
      <c r="C50" s="3">
        <v>279</v>
      </c>
    </row>
    <row r="51" spans="1:3" x14ac:dyDescent="0.25">
      <c r="A51" s="1"/>
      <c r="B51" s="1" t="s">
        <v>8</v>
      </c>
      <c r="C51" s="3">
        <v>280</v>
      </c>
    </row>
    <row r="52" spans="1:3" x14ac:dyDescent="0.25">
      <c r="A52" s="1"/>
      <c r="B52" s="1" t="s">
        <v>55</v>
      </c>
      <c r="C52" s="3">
        <v>2390</v>
      </c>
    </row>
    <row r="53" spans="1:3" x14ac:dyDescent="0.25">
      <c r="A53" s="1"/>
      <c r="B53" s="1" t="s">
        <v>56</v>
      </c>
      <c r="C53" s="3">
        <v>1935</v>
      </c>
    </row>
    <row r="54" spans="1:3" x14ac:dyDescent="0.25">
      <c r="A54" s="1"/>
      <c r="B54" s="10" t="s">
        <v>32</v>
      </c>
      <c r="C54" s="13">
        <f>SUM(C49:C53)</f>
        <v>5182</v>
      </c>
    </row>
    <row r="55" spans="1:3" x14ac:dyDescent="0.25">
      <c r="A55" s="1"/>
      <c r="B55" s="1"/>
      <c r="C55" s="1"/>
    </row>
    <row r="56" spans="1:3" ht="17.25" x14ac:dyDescent="0.25">
      <c r="A56" s="1"/>
      <c r="B56" s="16" t="s">
        <v>19</v>
      </c>
      <c r="C56" s="9" t="s">
        <v>377</v>
      </c>
    </row>
    <row r="57" spans="1:3" x14ac:dyDescent="0.25">
      <c r="A57" s="1"/>
      <c r="B57" s="1"/>
      <c r="C57" s="1"/>
    </row>
    <row r="58" spans="1:3" x14ac:dyDescent="0.25">
      <c r="A58" s="1">
        <v>7</v>
      </c>
      <c r="B58" s="2" t="s">
        <v>99</v>
      </c>
      <c r="C58" s="4" t="s">
        <v>9</v>
      </c>
    </row>
    <row r="59" spans="1:3" x14ac:dyDescent="0.25">
      <c r="A59" s="1"/>
      <c r="B59" s="1" t="s">
        <v>125</v>
      </c>
      <c r="C59" s="3">
        <v>400</v>
      </c>
    </row>
    <row r="60" spans="1:3" x14ac:dyDescent="0.25">
      <c r="A60" s="1"/>
      <c r="B60" s="1" t="s">
        <v>126</v>
      </c>
      <c r="C60" s="3">
        <v>230</v>
      </c>
    </row>
    <row r="61" spans="1:3" x14ac:dyDescent="0.25">
      <c r="A61" s="1"/>
      <c r="B61" s="1" t="s">
        <v>127</v>
      </c>
      <c r="C61" s="3">
        <v>20960</v>
      </c>
    </row>
    <row r="62" spans="1:3" x14ac:dyDescent="0.25">
      <c r="A62" s="1"/>
      <c r="B62" s="1" t="s">
        <v>128</v>
      </c>
      <c r="C62" s="3">
        <v>3730</v>
      </c>
    </row>
    <row r="63" spans="1:3" x14ac:dyDescent="0.25">
      <c r="A63" s="1"/>
      <c r="B63" s="10" t="s">
        <v>32</v>
      </c>
      <c r="C63" s="13">
        <f>SUM(C59:C62)</f>
        <v>25320</v>
      </c>
    </row>
    <row r="64" spans="1:3" x14ac:dyDescent="0.25">
      <c r="A64" s="1"/>
      <c r="B64" s="1"/>
      <c r="C64" s="1"/>
    </row>
    <row r="65" spans="1:3" x14ac:dyDescent="0.25">
      <c r="A65" s="2">
        <v>8</v>
      </c>
      <c r="B65" s="2" t="s">
        <v>101</v>
      </c>
      <c r="C65" s="4" t="s">
        <v>9</v>
      </c>
    </row>
    <row r="66" spans="1:3" x14ac:dyDescent="0.25">
      <c r="A66" s="2"/>
      <c r="B66" s="1" t="s">
        <v>381</v>
      </c>
      <c r="C66" s="3">
        <v>1145</v>
      </c>
    </row>
    <row r="67" spans="1:3" x14ac:dyDescent="0.25">
      <c r="A67" s="1"/>
      <c r="B67" s="1" t="s">
        <v>378</v>
      </c>
      <c r="C67" s="3">
        <v>20818</v>
      </c>
    </row>
    <row r="68" spans="1:3" x14ac:dyDescent="0.25">
      <c r="A68" s="1"/>
      <c r="B68" s="1" t="s">
        <v>379</v>
      </c>
      <c r="C68" s="3">
        <v>14110</v>
      </c>
    </row>
    <row r="69" spans="1:3" x14ac:dyDescent="0.25">
      <c r="A69" s="1"/>
      <c r="B69" s="1" t="s">
        <v>380</v>
      </c>
      <c r="C69" s="3">
        <v>13565</v>
      </c>
    </row>
    <row r="70" spans="1:3" x14ac:dyDescent="0.25">
      <c r="A70" s="1"/>
      <c r="B70" s="10" t="s">
        <v>32</v>
      </c>
      <c r="C70" s="13">
        <f>SUM(C66:C69)</f>
        <v>49638</v>
      </c>
    </row>
    <row r="71" spans="1:3" x14ac:dyDescent="0.25">
      <c r="A71" s="1"/>
      <c r="B71" s="1"/>
      <c r="C71" s="1"/>
    </row>
    <row r="72" spans="1:3" ht="17.25" x14ac:dyDescent="0.25">
      <c r="A72" s="1"/>
      <c r="B72" s="16" t="s">
        <v>30</v>
      </c>
      <c r="C72" s="12" t="s">
        <v>205</v>
      </c>
    </row>
    <row r="73" spans="1:3" x14ac:dyDescent="0.25">
      <c r="A73" s="1"/>
      <c r="B73" s="1"/>
      <c r="C73" s="1"/>
    </row>
    <row r="74" spans="1:3" x14ac:dyDescent="0.25">
      <c r="A74" s="1">
        <v>9</v>
      </c>
      <c r="B74" s="2" t="s">
        <v>103</v>
      </c>
      <c r="C74" s="4" t="s">
        <v>9</v>
      </c>
    </row>
    <row r="75" spans="1:3" x14ac:dyDescent="0.25">
      <c r="A75" s="1"/>
      <c r="B75" s="1" t="s">
        <v>78</v>
      </c>
      <c r="C75" s="3">
        <v>395</v>
      </c>
    </row>
    <row r="76" spans="1:3" x14ac:dyDescent="0.25">
      <c r="A76" s="1"/>
      <c r="B76" s="1" t="s">
        <v>29</v>
      </c>
      <c r="C76" s="3">
        <v>2370</v>
      </c>
    </row>
    <row r="77" spans="1:3" x14ac:dyDescent="0.25">
      <c r="A77" s="1"/>
      <c r="B77" s="1" t="s">
        <v>15</v>
      </c>
      <c r="C77" s="3">
        <v>17140</v>
      </c>
    </row>
    <row r="78" spans="1:3" x14ac:dyDescent="0.25">
      <c r="A78" s="1"/>
      <c r="B78" s="1" t="s">
        <v>28</v>
      </c>
      <c r="C78" s="3">
        <v>4399</v>
      </c>
    </row>
    <row r="79" spans="1:3" x14ac:dyDescent="0.25">
      <c r="A79" s="1"/>
      <c r="B79" s="10" t="s">
        <v>32</v>
      </c>
      <c r="C79" s="13">
        <f>SUM(C75:C78)</f>
        <v>24304</v>
      </c>
    </row>
    <row r="80" spans="1:3" x14ac:dyDescent="0.25">
      <c r="A80" s="1"/>
      <c r="B80" s="10"/>
      <c r="C80" s="13"/>
    </row>
    <row r="81" spans="1:3" x14ac:dyDescent="0.25">
      <c r="A81" s="2">
        <v>10</v>
      </c>
      <c r="B81" s="2" t="s">
        <v>116</v>
      </c>
      <c r="C81" s="3"/>
    </row>
    <row r="82" spans="1:3" x14ac:dyDescent="0.25">
      <c r="A82" s="1"/>
      <c r="B82" s="1" t="s">
        <v>110</v>
      </c>
      <c r="C82" s="3"/>
    </row>
    <row r="83" spans="1:3" ht="17.25" x14ac:dyDescent="0.25">
      <c r="A83" s="1"/>
      <c r="B83" s="1" t="s">
        <v>16</v>
      </c>
      <c r="C83" s="1" t="s">
        <v>383</v>
      </c>
    </row>
    <row r="84" spans="1:3" ht="17.25" x14ac:dyDescent="0.25">
      <c r="A84" s="1"/>
      <c r="B84" s="9" t="s">
        <v>17</v>
      </c>
      <c r="C84" s="1" t="s">
        <v>382</v>
      </c>
    </row>
    <row r="85" spans="1:3" x14ac:dyDescent="0.25">
      <c r="A85" s="1"/>
      <c r="B85" s="1" t="s">
        <v>2</v>
      </c>
      <c r="C85" s="1" t="s">
        <v>368</v>
      </c>
    </row>
    <row r="86" spans="1:3" x14ac:dyDescent="0.25">
      <c r="A86" s="1"/>
      <c r="B86" s="1"/>
      <c r="C86" s="3"/>
    </row>
    <row r="87" spans="1:3" x14ac:dyDescent="0.25">
      <c r="A87" s="1"/>
      <c r="B87" s="1" t="s">
        <v>113</v>
      </c>
      <c r="C87" s="4" t="s">
        <v>9</v>
      </c>
    </row>
    <row r="88" spans="1:3" x14ac:dyDescent="0.25">
      <c r="A88" s="1"/>
      <c r="B88" s="1" t="s">
        <v>78</v>
      </c>
      <c r="C88" s="3">
        <v>6880</v>
      </c>
    </row>
    <row r="89" spans="1:3" x14ac:dyDescent="0.25">
      <c r="A89" s="1"/>
      <c r="B89" s="1" t="s">
        <v>29</v>
      </c>
      <c r="C89" s="3">
        <v>1645</v>
      </c>
    </row>
    <row r="90" spans="1:3" x14ac:dyDescent="0.25">
      <c r="A90" s="1"/>
      <c r="B90" s="1" t="s">
        <v>15</v>
      </c>
      <c r="C90" s="3">
        <v>1275</v>
      </c>
    </row>
    <row r="91" spans="1:3" x14ac:dyDescent="0.25">
      <c r="A91" s="1"/>
      <c r="B91" s="1" t="s">
        <v>28</v>
      </c>
      <c r="C91" s="3">
        <v>689</v>
      </c>
    </row>
    <row r="92" spans="1:3" x14ac:dyDescent="0.25">
      <c r="A92" s="1"/>
      <c r="B92" s="1" t="s">
        <v>79</v>
      </c>
      <c r="C92" s="3">
        <v>285</v>
      </c>
    </row>
    <row r="93" spans="1:3" x14ac:dyDescent="0.25">
      <c r="A93" s="1"/>
      <c r="B93" s="10" t="s">
        <v>32</v>
      </c>
      <c r="C93" s="13">
        <f>SUM(C88:C92)</f>
        <v>10774</v>
      </c>
    </row>
    <row r="94" spans="1:3" x14ac:dyDescent="0.25">
      <c r="A94" s="1"/>
      <c r="B94" s="10"/>
      <c r="C94" s="13"/>
    </row>
    <row r="95" spans="1:3" ht="17.25" x14ac:dyDescent="0.25">
      <c r="A95" s="1"/>
      <c r="B95" s="16" t="s">
        <v>115</v>
      </c>
      <c r="C95" s="12" t="s">
        <v>384</v>
      </c>
    </row>
    <row r="96" spans="1:3" x14ac:dyDescent="0.25">
      <c r="A96" s="1"/>
      <c r="B96" s="16"/>
      <c r="C96" s="12"/>
    </row>
    <row r="97" spans="1:3" x14ac:dyDescent="0.25">
      <c r="A97" s="1">
        <v>11</v>
      </c>
      <c r="B97" s="2" t="s">
        <v>117</v>
      </c>
      <c r="C97" s="4" t="s">
        <v>9</v>
      </c>
    </row>
    <row r="98" spans="1:3" x14ac:dyDescent="0.25">
      <c r="A98" s="1"/>
      <c r="B98" s="1" t="s">
        <v>385</v>
      </c>
      <c r="C98" s="3">
        <v>1620</v>
      </c>
    </row>
    <row r="99" spans="1:3" x14ac:dyDescent="0.25">
      <c r="A99" s="1"/>
      <c r="B99" s="10"/>
      <c r="C99" s="13"/>
    </row>
    <row r="100" spans="1:3" x14ac:dyDescent="0.25">
      <c r="A100" s="1">
        <v>12</v>
      </c>
      <c r="B100" s="2" t="s">
        <v>118</v>
      </c>
      <c r="C100" s="4" t="s">
        <v>9</v>
      </c>
    </row>
    <row r="101" spans="1:3" x14ac:dyDescent="0.25">
      <c r="A101" s="1"/>
      <c r="B101" s="1" t="s">
        <v>164</v>
      </c>
      <c r="C101" s="17">
        <v>6620</v>
      </c>
    </row>
    <row r="102" spans="1:3" x14ac:dyDescent="0.25">
      <c r="A102" s="1"/>
      <c r="B102" s="1" t="s">
        <v>381</v>
      </c>
      <c r="C102" s="18">
        <v>3710</v>
      </c>
    </row>
    <row r="103" spans="1:3" x14ac:dyDescent="0.25">
      <c r="A103" s="1"/>
      <c r="B103" s="1" t="s">
        <v>378</v>
      </c>
      <c r="C103" s="18">
        <v>10610</v>
      </c>
    </row>
    <row r="104" spans="1:3" x14ac:dyDescent="0.25">
      <c r="A104" s="1"/>
      <c r="B104" s="1" t="s">
        <v>379</v>
      </c>
      <c r="C104" s="18">
        <v>8225</v>
      </c>
    </row>
    <row r="105" spans="1:3" x14ac:dyDescent="0.25">
      <c r="A105" s="1"/>
      <c r="B105" s="10" t="s">
        <v>32</v>
      </c>
      <c r="C105" s="13">
        <f>SUM(C100:C104)</f>
        <v>29165</v>
      </c>
    </row>
    <row r="106" spans="1:3" x14ac:dyDescent="0.25">
      <c r="A106" s="1"/>
      <c r="B106" s="10"/>
      <c r="C106" s="15"/>
    </row>
    <row r="107" spans="1:3" x14ac:dyDescent="0.25">
      <c r="A107" s="2">
        <v>13</v>
      </c>
      <c r="B107" s="2" t="s">
        <v>120</v>
      </c>
      <c r="C107" s="3"/>
    </row>
    <row r="108" spans="1:3" x14ac:dyDescent="0.25">
      <c r="A108" s="1"/>
      <c r="B108" s="1" t="s">
        <v>119</v>
      </c>
      <c r="C108" s="3"/>
    </row>
    <row r="109" spans="1:3" ht="17.25" x14ac:dyDescent="0.25">
      <c r="A109" s="1"/>
      <c r="B109" s="1" t="s">
        <v>16</v>
      </c>
      <c r="C109" s="1" t="s">
        <v>429</v>
      </c>
    </row>
    <row r="110" spans="1:3" ht="17.25" x14ac:dyDescent="0.25">
      <c r="A110" s="1"/>
      <c r="B110" s="9" t="s">
        <v>17</v>
      </c>
      <c r="C110" s="1" t="s">
        <v>402</v>
      </c>
    </row>
    <row r="111" spans="1:3" x14ac:dyDescent="0.25">
      <c r="A111" s="1"/>
      <c r="B111" s="1"/>
      <c r="C111" s="3"/>
    </row>
    <row r="112" spans="1:3" x14ac:dyDescent="0.25">
      <c r="A112" s="1"/>
      <c r="B112" s="1" t="s">
        <v>121</v>
      </c>
      <c r="C112" s="4" t="s">
        <v>9</v>
      </c>
    </row>
    <row r="113" spans="1:3" x14ac:dyDescent="0.25">
      <c r="A113" s="1"/>
      <c r="B113" s="1" t="s">
        <v>164</v>
      </c>
      <c r="C113" s="3">
        <v>405</v>
      </c>
    </row>
    <row r="114" spans="1:3" x14ac:dyDescent="0.25">
      <c r="A114" s="1"/>
      <c r="B114" s="1" t="s">
        <v>381</v>
      </c>
      <c r="C114" s="3">
        <v>905</v>
      </c>
    </row>
    <row r="115" spans="1:3" x14ac:dyDescent="0.25">
      <c r="A115" s="1"/>
      <c r="B115" s="10" t="s">
        <v>32</v>
      </c>
      <c r="C115" s="13">
        <f>SUM(C113:C114)</f>
        <v>1310</v>
      </c>
    </row>
    <row r="116" spans="1:3" x14ac:dyDescent="0.25">
      <c r="A116" s="1"/>
      <c r="B116" s="10"/>
      <c r="C116" s="15"/>
    </row>
    <row r="117" spans="1:3" x14ac:dyDescent="0.25">
      <c r="A117" s="1"/>
      <c r="B117" s="1" t="s">
        <v>122</v>
      </c>
      <c r="C117" s="4" t="s">
        <v>9</v>
      </c>
    </row>
    <row r="118" spans="1:3" x14ac:dyDescent="0.25">
      <c r="A118" s="1"/>
      <c r="B118" s="1" t="s">
        <v>386</v>
      </c>
      <c r="C118" s="3">
        <v>240</v>
      </c>
    </row>
    <row r="119" spans="1:3" x14ac:dyDescent="0.25">
      <c r="A119" s="1"/>
      <c r="B119" s="1"/>
      <c r="C119" s="3"/>
    </row>
    <row r="120" spans="1:3" ht="17.25" x14ac:dyDescent="0.25">
      <c r="A120" s="1"/>
      <c r="B120" s="16" t="s">
        <v>161</v>
      </c>
      <c r="C120" s="12" t="s">
        <v>388</v>
      </c>
    </row>
    <row r="121" spans="1:3" x14ac:dyDescent="0.25">
      <c r="A121" s="1"/>
      <c r="B121" s="10"/>
      <c r="C121" s="13"/>
    </row>
    <row r="122" spans="1:3" x14ac:dyDescent="0.25">
      <c r="A122" s="1"/>
      <c r="B122" s="1" t="s">
        <v>123</v>
      </c>
      <c r="C122" s="4" t="s">
        <v>9</v>
      </c>
    </row>
    <row r="123" spans="1:3" x14ac:dyDescent="0.25">
      <c r="A123" s="1"/>
      <c r="B123" s="1" t="s">
        <v>386</v>
      </c>
      <c r="C123" s="3">
        <v>2950</v>
      </c>
    </row>
    <row r="124" spans="1:3" x14ac:dyDescent="0.25">
      <c r="A124" s="1"/>
      <c r="B124" s="1" t="s">
        <v>430</v>
      </c>
      <c r="C124" s="3">
        <v>3820</v>
      </c>
    </row>
    <row r="125" spans="1:3" x14ac:dyDescent="0.25">
      <c r="A125" s="1"/>
      <c r="B125" s="10" t="s">
        <v>32</v>
      </c>
      <c r="C125" s="13">
        <f>SUM(C123:C124)</f>
        <v>6770</v>
      </c>
    </row>
    <row r="126" spans="1:3" x14ac:dyDescent="0.25">
      <c r="A126" s="1"/>
      <c r="B126" s="10"/>
      <c r="C126" s="13"/>
    </row>
    <row r="127" spans="1:3" ht="17.25" x14ac:dyDescent="0.25">
      <c r="A127" s="1"/>
      <c r="B127" s="16" t="s">
        <v>162</v>
      </c>
      <c r="C127" s="12" t="s">
        <v>388</v>
      </c>
    </row>
    <row r="128" spans="1:3" x14ac:dyDescent="0.25">
      <c r="A128" s="1"/>
      <c r="B128" s="10"/>
      <c r="C128" s="13"/>
    </row>
    <row r="129" spans="1:3" x14ac:dyDescent="0.25">
      <c r="A129" s="1">
        <v>14</v>
      </c>
      <c r="B129" s="2" t="s">
        <v>134</v>
      </c>
      <c r="C129" s="4" t="s">
        <v>9</v>
      </c>
    </row>
    <row r="130" spans="1:3" x14ac:dyDescent="0.25">
      <c r="A130" s="1"/>
      <c r="B130" s="1" t="s">
        <v>125</v>
      </c>
      <c r="C130" s="17">
        <v>6475</v>
      </c>
    </row>
    <row r="131" spans="1:3" x14ac:dyDescent="0.25">
      <c r="A131" s="1"/>
      <c r="B131" s="1" t="s">
        <v>126</v>
      </c>
      <c r="C131" s="18">
        <v>7472</v>
      </c>
    </row>
    <row r="132" spans="1:3" x14ac:dyDescent="0.25">
      <c r="A132" s="1"/>
      <c r="B132" s="1" t="s">
        <v>127</v>
      </c>
      <c r="C132" s="18">
        <v>15809</v>
      </c>
    </row>
    <row r="133" spans="1:3" x14ac:dyDescent="0.25">
      <c r="A133" s="1"/>
      <c r="B133" s="1" t="s">
        <v>128</v>
      </c>
      <c r="C133" s="18">
        <v>15725</v>
      </c>
    </row>
    <row r="134" spans="1:3" x14ac:dyDescent="0.25">
      <c r="A134" s="1"/>
      <c r="B134" s="1" t="s">
        <v>129</v>
      </c>
      <c r="C134" s="18">
        <v>21025</v>
      </c>
    </row>
    <row r="135" spans="1:3" x14ac:dyDescent="0.25">
      <c r="A135" s="1"/>
      <c r="B135" s="1" t="s">
        <v>130</v>
      </c>
      <c r="C135" s="18">
        <v>73878</v>
      </c>
    </row>
    <row r="136" spans="1:3" x14ac:dyDescent="0.25">
      <c r="A136" s="1"/>
      <c r="B136" s="1" t="s">
        <v>131</v>
      </c>
      <c r="C136" s="18">
        <v>13657</v>
      </c>
    </row>
    <row r="137" spans="1:3" x14ac:dyDescent="0.25">
      <c r="A137" s="1"/>
      <c r="B137" s="10" t="s">
        <v>32</v>
      </c>
      <c r="C137" s="13">
        <f>SUM(C130:C136)</f>
        <v>154041</v>
      </c>
    </row>
    <row r="138" spans="1:3" x14ac:dyDescent="0.25">
      <c r="A138" s="1"/>
      <c r="B138" s="10"/>
      <c r="C138" s="13"/>
    </row>
    <row r="139" spans="1:3" x14ac:dyDescent="0.25">
      <c r="A139" s="1">
        <v>15</v>
      </c>
      <c r="B139" s="2" t="s">
        <v>133</v>
      </c>
      <c r="C139" s="4" t="s">
        <v>9</v>
      </c>
    </row>
    <row r="140" spans="1:3" x14ac:dyDescent="0.25">
      <c r="A140" s="1"/>
      <c r="B140" s="1" t="s">
        <v>431</v>
      </c>
      <c r="C140" s="17">
        <v>195</v>
      </c>
    </row>
    <row r="141" spans="1:3" x14ac:dyDescent="0.25">
      <c r="A141" s="1"/>
      <c r="B141" s="1" t="s">
        <v>370</v>
      </c>
      <c r="C141" s="18">
        <v>608</v>
      </c>
    </row>
    <row r="142" spans="1:3" x14ac:dyDescent="0.25">
      <c r="A142" s="1"/>
      <c r="B142" s="10" t="s">
        <v>32</v>
      </c>
      <c r="C142" s="13">
        <f>SUM(C139:C141)</f>
        <v>803</v>
      </c>
    </row>
    <row r="143" spans="1:3" x14ac:dyDescent="0.25">
      <c r="A143" s="1"/>
      <c r="B143" s="10"/>
      <c r="C143" s="13"/>
    </row>
    <row r="144" spans="1:3" ht="17.25" x14ac:dyDescent="0.25">
      <c r="A144" s="1"/>
      <c r="B144" s="16" t="s">
        <v>163</v>
      </c>
      <c r="C144" s="12" t="s">
        <v>406</v>
      </c>
    </row>
    <row r="145" spans="1:3" x14ac:dyDescent="0.25">
      <c r="A145" s="1"/>
      <c r="B145" s="10"/>
      <c r="C145" s="13"/>
    </row>
    <row r="146" spans="1:3" x14ac:dyDescent="0.25">
      <c r="A146" s="1">
        <v>16</v>
      </c>
      <c r="B146" s="2" t="s">
        <v>136</v>
      </c>
      <c r="C146" s="4" t="s">
        <v>9</v>
      </c>
    </row>
    <row r="147" spans="1:3" x14ac:dyDescent="0.25">
      <c r="A147" s="1"/>
      <c r="B147" s="1" t="s">
        <v>370</v>
      </c>
      <c r="C147" s="17">
        <v>1580</v>
      </c>
    </row>
    <row r="148" spans="1:3" x14ac:dyDescent="0.25">
      <c r="A148" s="1"/>
      <c r="B148" s="1"/>
      <c r="C148" s="1"/>
    </row>
    <row r="149" spans="1:3" x14ac:dyDescent="0.25">
      <c r="A149" s="1">
        <v>17</v>
      </c>
      <c r="B149" s="2" t="s">
        <v>137</v>
      </c>
      <c r="C149" s="4" t="s">
        <v>9</v>
      </c>
    </row>
    <row r="150" spans="1:3" x14ac:dyDescent="0.25">
      <c r="A150" s="1"/>
      <c r="B150" s="1" t="s">
        <v>432</v>
      </c>
      <c r="C150" s="17">
        <v>620</v>
      </c>
    </row>
    <row r="151" spans="1:3" x14ac:dyDescent="0.25">
      <c r="A151" s="1"/>
      <c r="B151" s="1"/>
      <c r="C151" s="17"/>
    </row>
    <row r="152" spans="1:3" ht="17.25" x14ac:dyDescent="0.25">
      <c r="A152" s="1"/>
      <c r="B152" s="16" t="s">
        <v>165</v>
      </c>
      <c r="C152" s="12" t="s">
        <v>166</v>
      </c>
    </row>
    <row r="153" spans="1:3" x14ac:dyDescent="0.25">
      <c r="A153" s="1"/>
      <c r="B153" s="10"/>
      <c r="C153" s="13"/>
    </row>
    <row r="154" spans="1:3" x14ac:dyDescent="0.25">
      <c r="A154" s="1">
        <v>18</v>
      </c>
      <c r="B154" s="2" t="s">
        <v>138</v>
      </c>
      <c r="C154" s="4" t="s">
        <v>9</v>
      </c>
    </row>
    <row r="155" spans="1:3" x14ac:dyDescent="0.25">
      <c r="A155" s="1"/>
      <c r="B155" s="1" t="s">
        <v>386</v>
      </c>
      <c r="C155" s="17">
        <v>85</v>
      </c>
    </row>
    <row r="156" spans="1:3" x14ac:dyDescent="0.25">
      <c r="A156" s="1"/>
      <c r="B156" s="1" t="s">
        <v>430</v>
      </c>
      <c r="C156" s="18">
        <v>2275</v>
      </c>
    </row>
    <row r="157" spans="1:3" x14ac:dyDescent="0.25">
      <c r="A157" s="1"/>
      <c r="B157" s="1" t="s">
        <v>433</v>
      </c>
      <c r="C157" s="18">
        <v>23990</v>
      </c>
    </row>
    <row r="158" spans="1:3" x14ac:dyDescent="0.25">
      <c r="A158" s="1"/>
      <c r="B158" s="1" t="s">
        <v>434</v>
      </c>
      <c r="C158" s="18">
        <v>18325</v>
      </c>
    </row>
    <row r="159" spans="1:3" x14ac:dyDescent="0.25">
      <c r="A159" s="1"/>
      <c r="B159" s="1" t="s">
        <v>435</v>
      </c>
      <c r="C159" s="18">
        <v>5115</v>
      </c>
    </row>
    <row r="160" spans="1:3" x14ac:dyDescent="0.25">
      <c r="A160" s="1"/>
      <c r="B160" s="10" t="s">
        <v>32</v>
      </c>
      <c r="C160" s="13">
        <f>SUM(C157:C159)</f>
        <v>47430</v>
      </c>
    </row>
    <row r="161" spans="1:3" x14ac:dyDescent="0.25">
      <c r="A161" s="1"/>
      <c r="B161" s="10"/>
      <c r="C161" s="13"/>
    </row>
    <row r="162" spans="1:3" ht="17.25" x14ac:dyDescent="0.25">
      <c r="A162" s="1"/>
      <c r="B162" s="16" t="s">
        <v>31</v>
      </c>
      <c r="C162" s="12" t="s">
        <v>388</v>
      </c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6"/>
      <c r="B165" s="22" t="s">
        <v>88</v>
      </c>
      <c r="C165" s="23"/>
    </row>
    <row r="166" spans="1:3" x14ac:dyDescent="0.25">
      <c r="A166" s="1">
        <v>1</v>
      </c>
      <c r="B166" s="2" t="s">
        <v>59</v>
      </c>
      <c r="C166" s="1"/>
    </row>
    <row r="167" spans="1:3" x14ac:dyDescent="0.25">
      <c r="A167" s="1"/>
      <c r="B167" s="2" t="s">
        <v>4</v>
      </c>
      <c r="C167" s="1"/>
    </row>
    <row r="168" spans="1:3" ht="17.25" x14ac:dyDescent="0.25">
      <c r="A168" s="1"/>
      <c r="B168" s="1" t="s">
        <v>33</v>
      </c>
      <c r="C168" s="1" t="s">
        <v>446</v>
      </c>
    </row>
    <row r="169" spans="1:3" x14ac:dyDescent="0.25">
      <c r="A169" s="1"/>
      <c r="B169" s="1" t="s">
        <v>2</v>
      </c>
      <c r="C169" s="1" t="s">
        <v>368</v>
      </c>
    </row>
    <row r="170" spans="1:3" ht="17.25" x14ac:dyDescent="0.25">
      <c r="A170" s="1"/>
      <c r="B170" s="1" t="s">
        <v>1</v>
      </c>
      <c r="C170" s="1" t="s">
        <v>448</v>
      </c>
    </row>
    <row r="171" spans="1:3" ht="17.25" x14ac:dyDescent="0.25">
      <c r="A171" s="1"/>
      <c r="B171" s="1" t="s">
        <v>3</v>
      </c>
      <c r="C171" s="1" t="s">
        <v>447</v>
      </c>
    </row>
    <row r="172" spans="1:3" x14ac:dyDescent="0.25">
      <c r="A172" s="1"/>
      <c r="B172" s="1"/>
      <c r="C172" s="1"/>
    </row>
    <row r="173" spans="1:3" x14ac:dyDescent="0.25">
      <c r="A173" s="1"/>
      <c r="B173" s="1" t="s">
        <v>61</v>
      </c>
      <c r="C173" s="4" t="s">
        <v>9</v>
      </c>
    </row>
    <row r="174" spans="1:3" x14ac:dyDescent="0.25">
      <c r="A174" s="1"/>
      <c r="B174" s="1" t="s">
        <v>125</v>
      </c>
      <c r="C174" s="3">
        <v>380</v>
      </c>
    </row>
    <row r="175" spans="1:3" x14ac:dyDescent="0.25">
      <c r="A175" s="1"/>
      <c r="B175" s="1"/>
      <c r="C175" s="1"/>
    </row>
    <row r="176" spans="1:3" x14ac:dyDescent="0.25">
      <c r="A176" s="1">
        <v>2</v>
      </c>
      <c r="B176" s="2" t="s">
        <v>60</v>
      </c>
      <c r="C176" s="1"/>
    </row>
    <row r="177" spans="1:3" ht="17.25" x14ac:dyDescent="0.25">
      <c r="A177" s="1"/>
      <c r="B177" s="1" t="s">
        <v>7</v>
      </c>
      <c r="C177" s="1" t="s">
        <v>449</v>
      </c>
    </row>
    <row r="178" spans="1:3" x14ac:dyDescent="0.25">
      <c r="A178" s="1"/>
      <c r="B178" s="1" t="s">
        <v>2</v>
      </c>
      <c r="C178" t="s">
        <v>368</v>
      </c>
    </row>
    <row r="179" spans="1:3" ht="17.25" x14ac:dyDescent="0.25">
      <c r="A179" s="1"/>
      <c r="B179" s="1" t="s">
        <v>16</v>
      </c>
      <c r="C179" s="1" t="s">
        <v>450</v>
      </c>
    </row>
    <row r="180" spans="1:3" ht="17.25" x14ac:dyDescent="0.25">
      <c r="A180" s="1"/>
      <c r="B180" s="1" t="s">
        <v>37</v>
      </c>
      <c r="C180" s="1" t="s">
        <v>440</v>
      </c>
    </row>
    <row r="181" spans="1:3" x14ac:dyDescent="0.25">
      <c r="A181" s="1"/>
      <c r="B181" s="1"/>
      <c r="C181" s="1"/>
    </row>
    <row r="182" spans="1:3" x14ac:dyDescent="0.25">
      <c r="A182" s="1">
        <v>3</v>
      </c>
      <c r="B182" s="2" t="s">
        <v>140</v>
      </c>
      <c r="C182" s="4" t="s">
        <v>9</v>
      </c>
    </row>
    <row r="183" spans="1:3" x14ac:dyDescent="0.25">
      <c r="A183" s="1"/>
      <c r="B183" s="1" t="s">
        <v>125</v>
      </c>
      <c r="C183" s="8">
        <v>7405</v>
      </c>
    </row>
    <row r="184" spans="1:3" x14ac:dyDescent="0.25">
      <c r="A184" s="1"/>
      <c r="B184" s="1" t="s">
        <v>126</v>
      </c>
      <c r="C184" s="8">
        <v>8353</v>
      </c>
    </row>
    <row r="185" spans="1:3" x14ac:dyDescent="0.25">
      <c r="A185" s="1"/>
      <c r="B185" s="1" t="s">
        <v>127</v>
      </c>
      <c r="C185" s="8">
        <v>13153</v>
      </c>
    </row>
    <row r="186" spans="1:3" x14ac:dyDescent="0.25">
      <c r="A186" s="1"/>
      <c r="B186" s="1" t="s">
        <v>128</v>
      </c>
      <c r="C186" s="8">
        <v>6785</v>
      </c>
    </row>
    <row r="187" spans="1:3" x14ac:dyDescent="0.25">
      <c r="A187" s="1"/>
      <c r="B187" s="1" t="s">
        <v>129</v>
      </c>
      <c r="C187" s="8">
        <v>7920</v>
      </c>
    </row>
    <row r="188" spans="1:3" x14ac:dyDescent="0.25">
      <c r="A188" s="1"/>
      <c r="B188" s="1" t="s">
        <v>130</v>
      </c>
      <c r="C188" s="8">
        <v>13425</v>
      </c>
    </row>
    <row r="189" spans="1:3" x14ac:dyDescent="0.25">
      <c r="A189" s="1"/>
      <c r="B189" s="10" t="s">
        <v>32</v>
      </c>
      <c r="C189" s="13">
        <f>SUM(C183:C188)</f>
        <v>57041</v>
      </c>
    </row>
    <row r="190" spans="1:3" x14ac:dyDescent="0.25">
      <c r="A190" s="1"/>
      <c r="B190" s="1"/>
      <c r="C190" s="8"/>
    </row>
    <row r="191" spans="1:3" ht="17.25" x14ac:dyDescent="0.25">
      <c r="A191" s="1"/>
      <c r="B191" s="2" t="s">
        <v>62</v>
      </c>
      <c r="C191" s="12" t="s">
        <v>384</v>
      </c>
    </row>
    <row r="192" spans="1:3" x14ac:dyDescent="0.25">
      <c r="A192" s="1"/>
      <c r="B192" s="1"/>
      <c r="C192" s="1"/>
    </row>
    <row r="193" spans="1:3" x14ac:dyDescent="0.25">
      <c r="A193" s="1">
        <v>4</v>
      </c>
      <c r="B193" s="2" t="s">
        <v>64</v>
      </c>
      <c r="C193" s="4" t="s">
        <v>9</v>
      </c>
    </row>
    <row r="194" spans="1:3" x14ac:dyDescent="0.25">
      <c r="A194" s="1"/>
      <c r="B194" s="1" t="s">
        <v>125</v>
      </c>
      <c r="C194" s="8">
        <v>12432</v>
      </c>
    </row>
    <row r="195" spans="1:3" x14ac:dyDescent="0.25">
      <c r="A195" s="1"/>
      <c r="B195" s="1" t="s">
        <v>126</v>
      </c>
      <c r="C195" s="8">
        <v>15757</v>
      </c>
    </row>
    <row r="196" spans="1:3" x14ac:dyDescent="0.25">
      <c r="A196" s="1"/>
      <c r="B196" s="10" t="s">
        <v>32</v>
      </c>
      <c r="C196" s="13">
        <f>SUM(C194:C195)</f>
        <v>28189</v>
      </c>
    </row>
    <row r="197" spans="1:3" x14ac:dyDescent="0.25">
      <c r="A197" s="1"/>
      <c r="B197" s="1"/>
      <c r="C197" s="8"/>
    </row>
    <row r="198" spans="1:3" x14ac:dyDescent="0.25">
      <c r="A198" s="2">
        <v>5</v>
      </c>
      <c r="B198" s="2" t="s">
        <v>66</v>
      </c>
      <c r="C198" s="3"/>
    </row>
    <row r="199" spans="1:3" x14ac:dyDescent="0.25">
      <c r="A199" s="1"/>
      <c r="B199" s="1" t="s">
        <v>65</v>
      </c>
      <c r="C199" s="3"/>
    </row>
    <row r="200" spans="1:3" ht="17.25" x14ac:dyDescent="0.25">
      <c r="A200" s="1"/>
      <c r="B200" s="1" t="s">
        <v>16</v>
      </c>
      <c r="C200" s="1" t="s">
        <v>451</v>
      </c>
    </row>
    <row r="201" spans="1:3" ht="17.25" x14ac:dyDescent="0.25">
      <c r="A201" s="1"/>
      <c r="B201" s="9" t="s">
        <v>17</v>
      </c>
      <c r="C201" s="1" t="s">
        <v>440</v>
      </c>
    </row>
    <row r="202" spans="1:3" ht="14.25" customHeight="1" x14ac:dyDescent="0.25">
      <c r="A202" s="1"/>
      <c r="B202" s="1"/>
      <c r="C202" s="3"/>
    </row>
    <row r="203" spans="1:3" ht="14.25" customHeight="1" x14ac:dyDescent="0.25">
      <c r="A203" s="1"/>
      <c r="B203" s="1" t="s">
        <v>67</v>
      </c>
      <c r="C203" s="3"/>
    </row>
    <row r="204" spans="1:3" ht="14.25" customHeight="1" x14ac:dyDescent="0.25">
      <c r="A204" s="1"/>
      <c r="B204" s="1" t="s">
        <v>125</v>
      </c>
      <c r="C204" s="3">
        <v>597</v>
      </c>
    </row>
    <row r="205" spans="1:3" ht="14.25" customHeight="1" x14ac:dyDescent="0.25">
      <c r="A205" s="1"/>
      <c r="B205" s="1" t="s">
        <v>126</v>
      </c>
      <c r="C205" s="3">
        <v>350</v>
      </c>
    </row>
    <row r="206" spans="1:3" ht="14.25" customHeight="1" x14ac:dyDescent="0.25">
      <c r="A206" s="1"/>
      <c r="B206" s="1" t="s">
        <v>127</v>
      </c>
      <c r="C206" s="3">
        <v>360</v>
      </c>
    </row>
    <row r="207" spans="1:3" ht="14.25" customHeight="1" x14ac:dyDescent="0.25">
      <c r="A207" s="1"/>
      <c r="B207" s="1" t="s">
        <v>128</v>
      </c>
      <c r="C207" s="3">
        <v>243</v>
      </c>
    </row>
    <row r="208" spans="1:3" ht="14.25" customHeight="1" x14ac:dyDescent="0.25">
      <c r="A208" s="1"/>
      <c r="B208" s="1" t="s">
        <v>129</v>
      </c>
      <c r="C208" s="3">
        <v>349</v>
      </c>
    </row>
    <row r="209" spans="1:3" ht="14.25" customHeight="1" x14ac:dyDescent="0.25">
      <c r="A209" s="1"/>
      <c r="B209" s="1" t="s">
        <v>130</v>
      </c>
      <c r="C209" s="3">
        <v>225</v>
      </c>
    </row>
    <row r="210" spans="1:3" ht="14.25" customHeight="1" x14ac:dyDescent="0.25">
      <c r="A210" s="1"/>
      <c r="B210" s="10" t="s">
        <v>32</v>
      </c>
      <c r="C210" s="13">
        <f>SUM(C204:C209)</f>
        <v>2124</v>
      </c>
    </row>
    <row r="211" spans="1:3" ht="14.25" customHeight="1" x14ac:dyDescent="0.25">
      <c r="A211" s="1"/>
      <c r="B211" s="1"/>
      <c r="C211" s="1"/>
    </row>
    <row r="212" spans="1:3" ht="14.25" customHeight="1" x14ac:dyDescent="0.25">
      <c r="A212" s="1"/>
      <c r="B212" s="2" t="s">
        <v>68</v>
      </c>
      <c r="C212" s="2" t="s">
        <v>452</v>
      </c>
    </row>
    <row r="213" spans="1:3" ht="14.25" customHeight="1" x14ac:dyDescent="0.25">
      <c r="A213" s="1"/>
      <c r="B213" s="1"/>
      <c r="C213" s="1"/>
    </row>
    <row r="214" spans="1:3" x14ac:dyDescent="0.25">
      <c r="A214" s="1">
        <v>6</v>
      </c>
      <c r="B214" s="2" t="s">
        <v>72</v>
      </c>
      <c r="C214" s="4"/>
    </row>
    <row r="215" spans="1:3" x14ac:dyDescent="0.25">
      <c r="A215" s="1"/>
      <c r="B215" s="1" t="s">
        <v>78</v>
      </c>
      <c r="C215" s="8">
        <v>620</v>
      </c>
    </row>
    <row r="216" spans="1:3" x14ac:dyDescent="0.25">
      <c r="A216" s="1"/>
      <c r="B216" s="1" t="s">
        <v>29</v>
      </c>
      <c r="C216" s="8">
        <v>325</v>
      </c>
    </row>
    <row r="217" spans="1:3" x14ac:dyDescent="0.25">
      <c r="A217" s="1"/>
      <c r="B217" s="1" t="s">
        <v>15</v>
      </c>
      <c r="C217" s="8">
        <v>390</v>
      </c>
    </row>
    <row r="218" spans="1:3" x14ac:dyDescent="0.25">
      <c r="A218" s="1"/>
      <c r="B218" s="1" t="s">
        <v>28</v>
      </c>
      <c r="C218" s="8">
        <v>259</v>
      </c>
    </row>
    <row r="219" spans="1:3" x14ac:dyDescent="0.25">
      <c r="A219" s="1"/>
      <c r="B219" s="1" t="s">
        <v>79</v>
      </c>
      <c r="C219" s="8">
        <v>9868</v>
      </c>
    </row>
    <row r="220" spans="1:3" x14ac:dyDescent="0.25">
      <c r="A220" s="1"/>
      <c r="B220" s="1" t="s">
        <v>77</v>
      </c>
      <c r="C220" s="8">
        <v>34856</v>
      </c>
    </row>
    <row r="221" spans="1:3" x14ac:dyDescent="0.25">
      <c r="A221" s="1"/>
      <c r="B221" s="1" t="s">
        <v>302</v>
      </c>
      <c r="C221" s="8">
        <v>22808</v>
      </c>
    </row>
    <row r="222" spans="1:3" x14ac:dyDescent="0.25">
      <c r="A222" s="1"/>
      <c r="B222" s="10" t="s">
        <v>32</v>
      </c>
      <c r="C222" s="13">
        <f>SUM(C215:C221)</f>
        <v>69126</v>
      </c>
    </row>
    <row r="223" spans="1:3" x14ac:dyDescent="0.25">
      <c r="A223" s="1"/>
      <c r="B223" s="1"/>
      <c r="C223" s="8"/>
    </row>
    <row r="224" spans="1:3" x14ac:dyDescent="0.25">
      <c r="A224" s="1">
        <v>7</v>
      </c>
      <c r="B224" s="2" t="s">
        <v>74</v>
      </c>
      <c r="C224" s="4" t="s">
        <v>9</v>
      </c>
    </row>
    <row r="225" spans="1:3" x14ac:dyDescent="0.25">
      <c r="A225" s="1"/>
      <c r="B225" s="1" t="s">
        <v>379</v>
      </c>
      <c r="C225" s="8">
        <v>185</v>
      </c>
    </row>
    <row r="226" spans="1:3" x14ac:dyDescent="0.25">
      <c r="A226" s="1"/>
      <c r="B226" s="1" t="s">
        <v>380</v>
      </c>
      <c r="C226" s="14">
        <v>1447</v>
      </c>
    </row>
    <row r="227" spans="1:3" x14ac:dyDescent="0.25">
      <c r="A227" s="1"/>
      <c r="B227" s="1" t="s">
        <v>453</v>
      </c>
      <c r="C227" s="8">
        <v>3978</v>
      </c>
    </row>
    <row r="228" spans="1:3" x14ac:dyDescent="0.25">
      <c r="A228" s="1"/>
      <c r="B228" s="10" t="s">
        <v>32</v>
      </c>
      <c r="C228" s="13">
        <f>SUM(C225:C227)</f>
        <v>5610</v>
      </c>
    </row>
    <row r="229" spans="1:3" x14ac:dyDescent="0.25">
      <c r="A229" s="1"/>
      <c r="B229" s="1"/>
      <c r="C229" s="8"/>
    </row>
    <row r="230" spans="1:3" ht="17.25" x14ac:dyDescent="0.25">
      <c r="A230" s="1"/>
      <c r="B230" s="2" t="s">
        <v>20</v>
      </c>
      <c r="C230" s="12" t="s">
        <v>205</v>
      </c>
    </row>
    <row r="231" spans="1:3" x14ac:dyDescent="0.25">
      <c r="A231" s="1"/>
      <c r="B231" s="1"/>
      <c r="C231" s="1"/>
    </row>
    <row r="232" spans="1:3" x14ac:dyDescent="0.25">
      <c r="A232" s="1">
        <v>8</v>
      </c>
      <c r="B232" s="2" t="s">
        <v>141</v>
      </c>
      <c r="C232" s="4"/>
    </row>
    <row r="233" spans="1:3" x14ac:dyDescent="0.25">
      <c r="A233" s="1"/>
      <c r="B233" s="1" t="s">
        <v>454</v>
      </c>
      <c r="C233" s="3">
        <v>2835</v>
      </c>
    </row>
    <row r="234" spans="1:3" x14ac:dyDescent="0.25">
      <c r="A234" s="1"/>
      <c r="B234" s="1"/>
      <c r="C234" s="3"/>
    </row>
    <row r="235" spans="1:3" x14ac:dyDescent="0.25">
      <c r="A235" s="1">
        <v>9</v>
      </c>
      <c r="B235" s="2" t="s">
        <v>142</v>
      </c>
      <c r="C235" s="4" t="s">
        <v>9</v>
      </c>
    </row>
    <row r="236" spans="1:3" x14ac:dyDescent="0.25">
      <c r="A236" s="1"/>
      <c r="B236" s="1" t="s">
        <v>378</v>
      </c>
      <c r="C236" s="8">
        <v>13353</v>
      </c>
    </row>
    <row r="237" spans="1:3" x14ac:dyDescent="0.25">
      <c r="A237" s="1"/>
      <c r="B237" s="1" t="s">
        <v>455</v>
      </c>
      <c r="C237" s="8">
        <v>6858</v>
      </c>
    </row>
    <row r="238" spans="1:3" x14ac:dyDescent="0.25">
      <c r="A238" s="1"/>
      <c r="B238" s="10" t="s">
        <v>32</v>
      </c>
      <c r="C238" s="13">
        <f>SUM(C235:C237)</f>
        <v>20211</v>
      </c>
    </row>
    <row r="239" spans="1:3" x14ac:dyDescent="0.25">
      <c r="A239" s="1"/>
      <c r="B239" s="1"/>
      <c r="C239" s="3"/>
    </row>
    <row r="240" spans="1:3" x14ac:dyDescent="0.25">
      <c r="A240" s="1">
        <v>10</v>
      </c>
      <c r="B240" s="2" t="s">
        <v>143</v>
      </c>
      <c r="C240" s="4" t="s">
        <v>9</v>
      </c>
    </row>
    <row r="241" spans="1:3" x14ac:dyDescent="0.25">
      <c r="A241" s="1"/>
      <c r="B241" s="1" t="s">
        <v>371</v>
      </c>
      <c r="C241" s="8">
        <v>132</v>
      </c>
    </row>
    <row r="242" spans="1:3" x14ac:dyDescent="0.25">
      <c r="A242" s="1"/>
      <c r="B242" s="1" t="s">
        <v>372</v>
      </c>
      <c r="C242" s="8">
        <v>130</v>
      </c>
    </row>
    <row r="243" spans="1:3" x14ac:dyDescent="0.25">
      <c r="A243" s="1"/>
      <c r="B243" s="1" t="s">
        <v>373</v>
      </c>
      <c r="C243" s="8">
        <v>2500</v>
      </c>
    </row>
    <row r="244" spans="1:3" x14ac:dyDescent="0.25">
      <c r="A244" s="1"/>
      <c r="B244" s="1" t="s">
        <v>456</v>
      </c>
      <c r="C244" s="8">
        <v>715</v>
      </c>
    </row>
    <row r="245" spans="1:3" x14ac:dyDescent="0.25">
      <c r="A245" s="1"/>
      <c r="B245" s="10" t="s">
        <v>32</v>
      </c>
      <c r="C245" s="13">
        <f>SUM(C241:C244)</f>
        <v>3477</v>
      </c>
    </row>
    <row r="246" spans="1:3" x14ac:dyDescent="0.25">
      <c r="A246" s="1"/>
      <c r="B246" s="1"/>
      <c r="C246" s="8"/>
    </row>
    <row r="247" spans="1:3" ht="17.25" x14ac:dyDescent="0.25">
      <c r="A247" s="1"/>
      <c r="B247" s="2" t="s">
        <v>22</v>
      </c>
      <c r="C247" s="12" t="s">
        <v>387</v>
      </c>
    </row>
    <row r="248" spans="1:3" x14ac:dyDescent="0.25">
      <c r="A248" s="1"/>
      <c r="B248" s="1"/>
      <c r="C248" s="1"/>
    </row>
    <row r="249" spans="1:3" x14ac:dyDescent="0.25">
      <c r="A249" s="1">
        <v>11</v>
      </c>
      <c r="B249" s="2" t="s">
        <v>144</v>
      </c>
      <c r="C249" s="4" t="s">
        <v>9</v>
      </c>
    </row>
    <row r="250" spans="1:3" x14ac:dyDescent="0.25">
      <c r="A250" s="1"/>
      <c r="B250" s="1" t="s">
        <v>411</v>
      </c>
      <c r="C250" s="8">
        <v>20785</v>
      </c>
    </row>
    <row r="251" spans="1:3" x14ac:dyDescent="0.25">
      <c r="A251" s="1"/>
      <c r="B251" s="1" t="s">
        <v>412</v>
      </c>
      <c r="C251" s="8">
        <v>63300</v>
      </c>
    </row>
    <row r="252" spans="1:3" x14ac:dyDescent="0.25">
      <c r="A252" s="1"/>
      <c r="B252" s="1" t="s">
        <v>413</v>
      </c>
      <c r="C252" s="8">
        <v>4725</v>
      </c>
    </row>
    <row r="253" spans="1:3" x14ac:dyDescent="0.25">
      <c r="A253" s="1"/>
      <c r="B253" s="1" t="s">
        <v>414</v>
      </c>
      <c r="C253" s="8">
        <v>3155</v>
      </c>
    </row>
    <row r="254" spans="1:3" x14ac:dyDescent="0.25">
      <c r="A254" s="1"/>
      <c r="B254" s="1" t="s">
        <v>457</v>
      </c>
      <c r="C254" s="8">
        <v>18650</v>
      </c>
    </row>
    <row r="255" spans="1:3" x14ac:dyDescent="0.25">
      <c r="A255" s="1"/>
      <c r="B255" s="10" t="s">
        <v>32</v>
      </c>
      <c r="C255" s="13">
        <f>SUM(C250:C254)</f>
        <v>110615</v>
      </c>
    </row>
    <row r="256" spans="1:3" x14ac:dyDescent="0.25">
      <c r="A256" s="1"/>
      <c r="B256" s="1"/>
      <c r="C256" s="8"/>
    </row>
    <row r="257" spans="1:3" ht="17.25" x14ac:dyDescent="0.25">
      <c r="A257" s="1"/>
      <c r="B257" s="2" t="s">
        <v>21</v>
      </c>
      <c r="C257" s="12" t="s">
        <v>388</v>
      </c>
    </row>
    <row r="258" spans="1:3" x14ac:dyDescent="0.25">
      <c r="A258" s="1"/>
      <c r="B258" s="1"/>
      <c r="C258" s="8"/>
    </row>
    <row r="259" spans="1:3" x14ac:dyDescent="0.25">
      <c r="A259" s="2">
        <v>12</v>
      </c>
      <c r="B259" s="2" t="s">
        <v>145</v>
      </c>
      <c r="C259" s="4" t="s">
        <v>9</v>
      </c>
    </row>
    <row r="260" spans="1:3" x14ac:dyDescent="0.25">
      <c r="A260" s="2"/>
      <c r="B260" s="1" t="s">
        <v>164</v>
      </c>
      <c r="C260" s="8">
        <v>7651</v>
      </c>
    </row>
    <row r="261" spans="1:3" x14ac:dyDescent="0.25">
      <c r="A261" s="1"/>
      <c r="B261" s="1" t="s">
        <v>381</v>
      </c>
      <c r="C261" s="8">
        <v>2619</v>
      </c>
    </row>
    <row r="262" spans="1:3" x14ac:dyDescent="0.25">
      <c r="A262" s="1"/>
      <c r="B262" s="1" t="s">
        <v>378</v>
      </c>
      <c r="C262" s="8">
        <v>5960</v>
      </c>
    </row>
    <row r="263" spans="1:3" x14ac:dyDescent="0.25">
      <c r="A263" s="1"/>
      <c r="B263" s="1" t="s">
        <v>379</v>
      </c>
      <c r="C263" s="8">
        <v>4772</v>
      </c>
    </row>
    <row r="264" spans="1:3" x14ac:dyDescent="0.25">
      <c r="A264" s="1"/>
      <c r="B264" s="1" t="s">
        <v>380</v>
      </c>
      <c r="C264" s="8">
        <v>17477</v>
      </c>
    </row>
    <row r="265" spans="1:3" x14ac:dyDescent="0.25">
      <c r="A265" s="1"/>
      <c r="B265" s="1" t="s">
        <v>453</v>
      </c>
      <c r="C265" s="8">
        <v>41040</v>
      </c>
    </row>
    <row r="266" spans="1:3" x14ac:dyDescent="0.25">
      <c r="A266" s="1"/>
      <c r="B266" s="10" t="s">
        <v>32</v>
      </c>
      <c r="C266" s="13">
        <f>SUM(C260:C265)</f>
        <v>79519</v>
      </c>
    </row>
    <row r="267" spans="1:3" x14ac:dyDescent="0.25">
      <c r="A267" s="1"/>
      <c r="B267" s="1"/>
      <c r="C267" s="8"/>
    </row>
    <row r="268" spans="1:3" x14ac:dyDescent="0.25">
      <c r="A268" s="1">
        <v>13</v>
      </c>
      <c r="B268" s="12" t="s">
        <v>81</v>
      </c>
      <c r="C268" s="10"/>
    </row>
    <row r="269" spans="1:3" x14ac:dyDescent="0.25">
      <c r="A269" s="1"/>
      <c r="B269" s="12" t="s">
        <v>82</v>
      </c>
      <c r="C269" s="10"/>
    </row>
    <row r="270" spans="1:3" ht="17.25" x14ac:dyDescent="0.25">
      <c r="A270" s="1"/>
      <c r="B270" s="1" t="s">
        <v>16</v>
      </c>
      <c r="C270" s="1" t="s">
        <v>459</v>
      </c>
    </row>
    <row r="271" spans="1:3" ht="17.25" x14ac:dyDescent="0.25">
      <c r="A271" s="1"/>
      <c r="B271" s="9" t="s">
        <v>17</v>
      </c>
      <c r="C271" s="1" t="s">
        <v>460</v>
      </c>
    </row>
    <row r="272" spans="1:3" x14ac:dyDescent="0.25">
      <c r="A272" s="1"/>
      <c r="B272" s="4"/>
      <c r="C272" s="4"/>
    </row>
    <row r="273" spans="1:3" x14ac:dyDescent="0.25">
      <c r="A273" s="1"/>
      <c r="B273" s="12" t="s">
        <v>83</v>
      </c>
      <c r="C273" s="4" t="s">
        <v>9</v>
      </c>
    </row>
    <row r="274" spans="1:3" x14ac:dyDescent="0.25">
      <c r="A274" s="1"/>
      <c r="B274" s="1" t="s">
        <v>164</v>
      </c>
      <c r="C274" s="3">
        <v>998</v>
      </c>
    </row>
    <row r="275" spans="1:3" x14ac:dyDescent="0.25">
      <c r="A275" s="1"/>
      <c r="B275" s="1" t="s">
        <v>381</v>
      </c>
      <c r="C275" s="3">
        <v>1565</v>
      </c>
    </row>
    <row r="276" spans="1:3" x14ac:dyDescent="0.25">
      <c r="A276" s="1"/>
      <c r="B276" s="1" t="s">
        <v>378</v>
      </c>
      <c r="C276" s="3">
        <v>7460</v>
      </c>
    </row>
    <row r="277" spans="1:3" x14ac:dyDescent="0.25">
      <c r="A277" s="1"/>
      <c r="B277" s="10" t="s">
        <v>32</v>
      </c>
      <c r="C277" s="13">
        <f>SUM(C274:C276)</f>
        <v>10023</v>
      </c>
    </row>
    <row r="278" spans="1:3" x14ac:dyDescent="0.25">
      <c r="A278" s="1"/>
      <c r="B278" s="1"/>
      <c r="C278" s="8"/>
    </row>
    <row r="279" spans="1:3" ht="17.25" x14ac:dyDescent="0.25">
      <c r="A279" s="1"/>
      <c r="B279" s="2" t="s">
        <v>84</v>
      </c>
      <c r="C279" s="2" t="s">
        <v>461</v>
      </c>
    </row>
    <row r="280" spans="1:3" x14ac:dyDescent="0.25">
      <c r="A280" s="1"/>
      <c r="B280" s="1"/>
      <c r="C280" s="8"/>
    </row>
    <row r="281" spans="1:3" x14ac:dyDescent="0.25">
      <c r="A281" s="2">
        <v>14</v>
      </c>
      <c r="B281" s="2" t="s">
        <v>85</v>
      </c>
      <c r="C281" s="4" t="s">
        <v>9</v>
      </c>
    </row>
    <row r="282" spans="1:3" x14ac:dyDescent="0.25">
      <c r="A282" s="2"/>
      <c r="B282" s="1" t="s">
        <v>431</v>
      </c>
      <c r="C282" s="8">
        <v>8455</v>
      </c>
    </row>
    <row r="283" spans="1:3" x14ac:dyDescent="0.25">
      <c r="A283" s="1"/>
      <c r="B283" s="1" t="s">
        <v>370</v>
      </c>
      <c r="C283" s="8">
        <v>1950</v>
      </c>
    </row>
    <row r="284" spans="1:3" x14ac:dyDescent="0.25">
      <c r="A284" s="1"/>
      <c r="B284" s="1" t="s">
        <v>371</v>
      </c>
      <c r="C284" s="8">
        <v>1610</v>
      </c>
    </row>
    <row r="285" spans="1:3" x14ac:dyDescent="0.25">
      <c r="A285" s="1"/>
      <c r="B285" s="1" t="s">
        <v>372</v>
      </c>
      <c r="C285" s="8">
        <v>784</v>
      </c>
    </row>
    <row r="286" spans="1:3" x14ac:dyDescent="0.25">
      <c r="A286" s="1"/>
      <c r="B286" s="1" t="s">
        <v>373</v>
      </c>
      <c r="C286" s="8">
        <v>1965</v>
      </c>
    </row>
    <row r="287" spans="1:3" x14ac:dyDescent="0.25">
      <c r="A287" s="1"/>
      <c r="B287" s="1" t="s">
        <v>456</v>
      </c>
      <c r="C287" s="8">
        <v>5765</v>
      </c>
    </row>
    <row r="288" spans="1:3" x14ac:dyDescent="0.25">
      <c r="A288" s="1"/>
      <c r="B288" s="1" t="s">
        <v>458</v>
      </c>
      <c r="C288" s="8">
        <v>43347</v>
      </c>
    </row>
    <row r="289" spans="1:3" x14ac:dyDescent="0.25">
      <c r="A289" s="1"/>
      <c r="B289" s="10" t="s">
        <v>32</v>
      </c>
      <c r="C289" s="13">
        <f>SUM(C282:C288)</f>
        <v>63876</v>
      </c>
    </row>
    <row r="290" spans="1:3" x14ac:dyDescent="0.25">
      <c r="A290" s="1"/>
      <c r="B290" s="1"/>
      <c r="C290" s="8"/>
    </row>
    <row r="291" spans="1:3" ht="17.25" x14ac:dyDescent="0.25">
      <c r="A291" s="1"/>
      <c r="B291" s="2" t="s">
        <v>86</v>
      </c>
      <c r="C291" s="2" t="s">
        <v>462</v>
      </c>
    </row>
    <row r="292" spans="1:3" x14ac:dyDescent="0.25">
      <c r="A292" s="1"/>
      <c r="B292" s="1"/>
      <c r="C292" s="8"/>
    </row>
    <row r="293" spans="1:3" x14ac:dyDescent="0.25">
      <c r="A293" s="1"/>
      <c r="B293" s="1"/>
      <c r="C293" s="8"/>
    </row>
    <row r="294" spans="1:3" x14ac:dyDescent="0.25">
      <c r="A294" s="1"/>
      <c r="B294" s="22" t="s">
        <v>87</v>
      </c>
      <c r="C294" s="23"/>
    </row>
    <row r="295" spans="1:3" x14ac:dyDescent="0.25">
      <c r="A295" s="1">
        <v>1</v>
      </c>
      <c r="B295" s="2" t="s">
        <v>23</v>
      </c>
      <c r="C295" s="1"/>
    </row>
    <row r="296" spans="1:3" x14ac:dyDescent="0.25">
      <c r="A296" s="1"/>
      <c r="B296" s="2" t="s">
        <v>4</v>
      </c>
      <c r="C296" s="1"/>
    </row>
    <row r="297" spans="1:3" ht="17.25" x14ac:dyDescent="0.25">
      <c r="A297" s="1"/>
      <c r="B297" s="1" t="s">
        <v>33</v>
      </c>
      <c r="C297" s="1" t="s">
        <v>436</v>
      </c>
    </row>
    <row r="298" spans="1:3" x14ac:dyDescent="0.25">
      <c r="A298" s="1"/>
      <c r="B298" s="1" t="s">
        <v>2</v>
      </c>
      <c r="C298" s="1" t="s">
        <v>364</v>
      </c>
    </row>
    <row r="299" spans="1:3" ht="17.25" x14ac:dyDescent="0.25">
      <c r="A299" s="1"/>
      <c r="B299" s="1" t="s">
        <v>1</v>
      </c>
      <c r="C299" s="1" t="s">
        <v>439</v>
      </c>
    </row>
    <row r="300" spans="1:3" ht="17.25" x14ac:dyDescent="0.25">
      <c r="A300" s="1"/>
      <c r="B300" s="1" t="s">
        <v>3</v>
      </c>
      <c r="C300" s="1" t="s">
        <v>366</v>
      </c>
    </row>
    <row r="301" spans="1:3" x14ac:dyDescent="0.25">
      <c r="A301" s="1"/>
      <c r="B301" s="1"/>
      <c r="C301" s="1"/>
    </row>
    <row r="302" spans="1:3" x14ac:dyDescent="0.25">
      <c r="A302" s="1"/>
      <c r="B302" s="2" t="s">
        <v>26</v>
      </c>
      <c r="C302" s="4" t="s">
        <v>9</v>
      </c>
    </row>
    <row r="303" spans="1:3" x14ac:dyDescent="0.25">
      <c r="A303" s="1"/>
      <c r="B303" s="1" t="s">
        <v>125</v>
      </c>
      <c r="C303" s="3">
        <v>1325</v>
      </c>
    </row>
    <row r="304" spans="1:3" x14ac:dyDescent="0.25">
      <c r="A304" s="1"/>
      <c r="B304" s="1" t="s">
        <v>126</v>
      </c>
      <c r="C304" s="3">
        <v>195</v>
      </c>
    </row>
    <row r="305" spans="1:6" x14ac:dyDescent="0.25">
      <c r="A305" s="1"/>
      <c r="B305" s="1" t="s">
        <v>127</v>
      </c>
      <c r="C305" s="3">
        <v>339</v>
      </c>
    </row>
    <row r="306" spans="1:6" x14ac:dyDescent="0.25">
      <c r="A306" s="1"/>
      <c r="B306" s="1" t="s">
        <v>128</v>
      </c>
      <c r="C306" s="3">
        <v>431</v>
      </c>
      <c r="F306" s="11"/>
    </row>
    <row r="307" spans="1:6" ht="14.25" customHeight="1" x14ac:dyDescent="0.25">
      <c r="A307" s="1"/>
      <c r="B307" s="1" t="s">
        <v>129</v>
      </c>
      <c r="C307" s="3">
        <v>363</v>
      </c>
    </row>
    <row r="308" spans="1:6" x14ac:dyDescent="0.25">
      <c r="A308" s="1"/>
      <c r="B308" s="10" t="s">
        <v>32</v>
      </c>
      <c r="C308" s="10">
        <f>SUM(C303:C307)</f>
        <v>2653</v>
      </c>
    </row>
    <row r="309" spans="1:6" x14ac:dyDescent="0.25">
      <c r="A309" s="1"/>
      <c r="B309" s="1"/>
      <c r="C309" s="1"/>
    </row>
    <row r="310" spans="1:6" x14ac:dyDescent="0.25">
      <c r="A310" s="1">
        <v>2</v>
      </c>
      <c r="B310" s="2" t="s">
        <v>24</v>
      </c>
      <c r="C310" s="1"/>
    </row>
    <row r="311" spans="1:6" ht="17.25" x14ac:dyDescent="0.25">
      <c r="A311" s="1"/>
      <c r="B311" s="1" t="s">
        <v>34</v>
      </c>
      <c r="C311" s="1" t="s">
        <v>437</v>
      </c>
    </row>
    <row r="312" spans="1:6" x14ac:dyDescent="0.25">
      <c r="A312" s="1"/>
      <c r="B312" s="1" t="s">
        <v>2</v>
      </c>
      <c r="C312" t="s">
        <v>364</v>
      </c>
    </row>
    <row r="313" spans="1:6" ht="17.25" x14ac:dyDescent="0.25">
      <c r="A313" s="1"/>
      <c r="B313" s="1" t="s">
        <v>16</v>
      </c>
      <c r="C313" s="1" t="s">
        <v>438</v>
      </c>
    </row>
    <row r="314" spans="1:6" ht="17.25" x14ac:dyDescent="0.25">
      <c r="A314" s="1"/>
      <c r="B314" s="1" t="s">
        <v>37</v>
      </c>
      <c r="C314" s="1" t="s">
        <v>366</v>
      </c>
    </row>
    <row r="315" spans="1:6" x14ac:dyDescent="0.25">
      <c r="A315" s="1"/>
      <c r="B315" s="1"/>
      <c r="C315" s="1"/>
    </row>
    <row r="316" spans="1:6" x14ac:dyDescent="0.25">
      <c r="A316" s="1"/>
      <c r="B316" s="1" t="s">
        <v>35</v>
      </c>
      <c r="C316" s="4" t="s">
        <v>9</v>
      </c>
    </row>
    <row r="317" spans="1:6" x14ac:dyDescent="0.25">
      <c r="A317" s="1"/>
      <c r="B317" s="1" t="s">
        <v>125</v>
      </c>
      <c r="C317" s="3">
        <v>2097</v>
      </c>
    </row>
    <row r="318" spans="1:6" x14ac:dyDescent="0.25">
      <c r="A318" s="1"/>
      <c r="B318" s="1" t="s">
        <v>126</v>
      </c>
      <c r="C318" s="3">
        <v>1159</v>
      </c>
    </row>
    <row r="319" spans="1:6" x14ac:dyDescent="0.25">
      <c r="A319" s="1"/>
      <c r="B319" s="1" t="s">
        <v>127</v>
      </c>
      <c r="C319" s="3">
        <v>5049</v>
      </c>
    </row>
    <row r="320" spans="1:6" x14ac:dyDescent="0.25">
      <c r="A320" s="1"/>
      <c r="B320" s="1" t="s">
        <v>128</v>
      </c>
      <c r="C320" s="3">
        <v>545</v>
      </c>
    </row>
    <row r="321" spans="1:3" x14ac:dyDescent="0.25">
      <c r="A321" s="1"/>
      <c r="B321" s="1" t="s">
        <v>129</v>
      </c>
      <c r="C321" s="3">
        <v>4573</v>
      </c>
    </row>
    <row r="322" spans="1:3" x14ac:dyDescent="0.25">
      <c r="A322" s="1"/>
      <c r="B322" s="10" t="s">
        <v>32</v>
      </c>
      <c r="C322" s="10">
        <f>SUM(C317:C321)</f>
        <v>13423</v>
      </c>
    </row>
    <row r="323" spans="1:3" x14ac:dyDescent="0.25">
      <c r="A323" s="1"/>
      <c r="B323" s="10"/>
      <c r="C323" s="10"/>
    </row>
    <row r="324" spans="1:3" x14ac:dyDescent="0.25">
      <c r="A324" s="1">
        <v>3</v>
      </c>
      <c r="B324" s="12" t="s">
        <v>36</v>
      </c>
      <c r="C324" s="10"/>
    </row>
    <row r="325" spans="1:3" x14ac:dyDescent="0.25">
      <c r="A325" s="1"/>
      <c r="B325" s="12" t="s">
        <v>38</v>
      </c>
      <c r="C325" s="10"/>
    </row>
    <row r="326" spans="1:3" ht="17.25" x14ac:dyDescent="0.25">
      <c r="A326" s="1"/>
      <c r="B326" s="1" t="s">
        <v>16</v>
      </c>
      <c r="C326" s="1" t="s">
        <v>438</v>
      </c>
    </row>
    <row r="327" spans="1:3" ht="17.25" x14ac:dyDescent="0.25">
      <c r="A327" s="1"/>
      <c r="B327" s="9" t="s">
        <v>17</v>
      </c>
      <c r="C327" s="1" t="s">
        <v>440</v>
      </c>
    </row>
    <row r="328" spans="1:3" x14ac:dyDescent="0.25">
      <c r="A328" s="1"/>
      <c r="B328" s="4"/>
      <c r="C328" s="4"/>
    </row>
    <row r="329" spans="1:3" x14ac:dyDescent="0.25">
      <c r="A329" s="1"/>
      <c r="B329" s="12" t="s">
        <v>146</v>
      </c>
      <c r="C329" s="4" t="s">
        <v>9</v>
      </c>
    </row>
    <row r="330" spans="1:3" x14ac:dyDescent="0.25">
      <c r="A330" s="1"/>
      <c r="B330" s="1" t="s">
        <v>125</v>
      </c>
      <c r="C330" s="3">
        <v>4548</v>
      </c>
    </row>
    <row r="331" spans="1:3" x14ac:dyDescent="0.25">
      <c r="A331" s="1"/>
      <c r="B331" s="1" t="s">
        <v>126</v>
      </c>
      <c r="C331" s="3">
        <v>16480</v>
      </c>
    </row>
    <row r="332" spans="1:3" x14ac:dyDescent="0.25">
      <c r="A332" s="1"/>
      <c r="B332" s="1" t="s">
        <v>127</v>
      </c>
      <c r="C332" s="3">
        <v>2846</v>
      </c>
    </row>
    <row r="333" spans="1:3" x14ac:dyDescent="0.25">
      <c r="A333" s="1"/>
      <c r="B333" s="1" t="s">
        <v>128</v>
      </c>
      <c r="C333" s="3">
        <v>1108</v>
      </c>
    </row>
    <row r="334" spans="1:3" x14ac:dyDescent="0.25">
      <c r="A334" s="1"/>
      <c r="B334" s="1" t="s">
        <v>129</v>
      </c>
      <c r="C334" s="3">
        <v>870</v>
      </c>
    </row>
    <row r="335" spans="1:3" x14ac:dyDescent="0.25">
      <c r="A335" s="1"/>
      <c r="B335" s="10" t="s">
        <v>32</v>
      </c>
      <c r="C335" s="10">
        <f>SUM(C330:C334)</f>
        <v>25852</v>
      </c>
    </row>
    <row r="336" spans="1:3" x14ac:dyDescent="0.25">
      <c r="A336" s="1"/>
      <c r="B336" s="4"/>
      <c r="C336" s="4"/>
    </row>
    <row r="337" spans="1:3" x14ac:dyDescent="0.25">
      <c r="A337" s="1">
        <v>4</v>
      </c>
      <c r="B337" s="12" t="s">
        <v>39</v>
      </c>
      <c r="C337" s="10"/>
    </row>
    <row r="338" spans="1:3" x14ac:dyDescent="0.25">
      <c r="A338" s="1"/>
      <c r="B338" s="12" t="s">
        <v>40</v>
      </c>
      <c r="C338" s="10"/>
    </row>
    <row r="339" spans="1:3" ht="17.25" x14ac:dyDescent="0.25">
      <c r="A339" s="1"/>
      <c r="B339" s="1" t="s">
        <v>16</v>
      </c>
      <c r="C339" s="1" t="s">
        <v>441</v>
      </c>
    </row>
    <row r="340" spans="1:3" ht="17.25" x14ac:dyDescent="0.25">
      <c r="A340" s="1"/>
      <c r="B340" s="9" t="s">
        <v>17</v>
      </c>
      <c r="C340" s="1" t="s">
        <v>440</v>
      </c>
    </row>
    <row r="341" spans="1:3" x14ac:dyDescent="0.25">
      <c r="A341" s="1"/>
      <c r="B341" s="4"/>
      <c r="C341" s="4"/>
    </row>
    <row r="342" spans="1:3" x14ac:dyDescent="0.25">
      <c r="A342" s="1"/>
      <c r="B342" s="12" t="s">
        <v>41</v>
      </c>
      <c r="C342" s="4" t="s">
        <v>9</v>
      </c>
    </row>
    <row r="343" spans="1:3" x14ac:dyDescent="0.25">
      <c r="A343" s="1"/>
      <c r="B343" s="1" t="s">
        <v>125</v>
      </c>
      <c r="C343" s="3">
        <v>1461</v>
      </c>
    </row>
    <row r="344" spans="1:3" x14ac:dyDescent="0.25">
      <c r="A344" s="1"/>
      <c r="B344" s="1" t="s">
        <v>126</v>
      </c>
      <c r="C344" s="3">
        <v>14586</v>
      </c>
    </row>
    <row r="345" spans="1:3" x14ac:dyDescent="0.25">
      <c r="A345" s="1"/>
      <c r="B345" s="1" t="s">
        <v>127</v>
      </c>
      <c r="C345" s="3">
        <v>16830</v>
      </c>
    </row>
    <row r="346" spans="1:3" x14ac:dyDescent="0.25">
      <c r="A346" s="1"/>
      <c r="B346" s="1" t="s">
        <v>128</v>
      </c>
      <c r="C346" s="3">
        <v>14603</v>
      </c>
    </row>
    <row r="347" spans="1:3" x14ac:dyDescent="0.25">
      <c r="A347" s="1"/>
      <c r="B347" s="10" t="s">
        <v>32</v>
      </c>
      <c r="C347" s="10">
        <f>SUM(C343:C346)</f>
        <v>47480</v>
      </c>
    </row>
    <row r="348" spans="1:3" x14ac:dyDescent="0.25">
      <c r="A348" s="1"/>
      <c r="B348" s="10"/>
      <c r="C348" s="10"/>
    </row>
    <row r="349" spans="1:3" x14ac:dyDescent="0.25">
      <c r="A349" s="1">
        <v>5</v>
      </c>
      <c r="B349" s="12" t="s">
        <v>42</v>
      </c>
      <c r="C349" s="10"/>
    </row>
    <row r="350" spans="1:3" x14ac:dyDescent="0.25">
      <c r="A350" s="1"/>
      <c r="B350" s="12" t="s">
        <v>147</v>
      </c>
      <c r="C350" s="10"/>
    </row>
    <row r="351" spans="1:3" ht="17.25" x14ac:dyDescent="0.25">
      <c r="A351" s="1"/>
      <c r="B351" s="1" t="s">
        <v>16</v>
      </c>
      <c r="C351" s="1" t="s">
        <v>442</v>
      </c>
    </row>
    <row r="352" spans="1:3" ht="17.25" x14ac:dyDescent="0.25">
      <c r="A352" s="1"/>
      <c r="B352" s="9" t="s">
        <v>17</v>
      </c>
      <c r="C352" s="1" t="s">
        <v>440</v>
      </c>
    </row>
    <row r="353" spans="1:3" x14ac:dyDescent="0.25">
      <c r="A353" s="1"/>
      <c r="B353" s="4"/>
      <c r="C353" s="4"/>
    </row>
    <row r="354" spans="1:3" x14ac:dyDescent="0.25">
      <c r="A354" s="1"/>
      <c r="B354" s="12" t="s">
        <v>148</v>
      </c>
      <c r="C354" s="4" t="s">
        <v>9</v>
      </c>
    </row>
    <row r="355" spans="1:3" x14ac:dyDescent="0.25">
      <c r="A355" s="1"/>
      <c r="B355" s="1" t="s">
        <v>125</v>
      </c>
      <c r="C355" s="3">
        <v>320</v>
      </c>
    </row>
    <row r="356" spans="1:3" x14ac:dyDescent="0.25">
      <c r="A356" s="1"/>
      <c r="B356" s="1" t="s">
        <v>126</v>
      </c>
      <c r="C356" s="3">
        <v>190</v>
      </c>
    </row>
    <row r="357" spans="1:3" x14ac:dyDescent="0.25">
      <c r="A357" s="1"/>
      <c r="B357" s="1" t="s">
        <v>127</v>
      </c>
      <c r="C357" s="3">
        <v>1548</v>
      </c>
    </row>
    <row r="358" spans="1:3" x14ac:dyDescent="0.25">
      <c r="A358" s="1"/>
      <c r="B358" s="10" t="s">
        <v>32</v>
      </c>
      <c r="C358" s="10">
        <f>SUM(C355:C357)</f>
        <v>2058</v>
      </c>
    </row>
    <row r="359" spans="1:3" x14ac:dyDescent="0.25">
      <c r="A359" s="1"/>
      <c r="B359" s="1"/>
      <c r="C359" s="1"/>
    </row>
    <row r="360" spans="1:3" ht="17.25" x14ac:dyDescent="0.25">
      <c r="A360" s="1"/>
      <c r="B360" s="2" t="s">
        <v>43</v>
      </c>
      <c r="C360" s="9" t="s">
        <v>377</v>
      </c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9"/>
    </row>
    <row r="363" spans="1:3" x14ac:dyDescent="0.25">
      <c r="A363" s="1">
        <v>6</v>
      </c>
      <c r="B363" s="2" t="s">
        <v>46</v>
      </c>
      <c r="C363" s="4" t="s">
        <v>9</v>
      </c>
    </row>
    <row r="364" spans="1:3" x14ac:dyDescent="0.25">
      <c r="A364" s="1"/>
      <c r="B364" s="1" t="s">
        <v>125</v>
      </c>
      <c r="C364" s="3">
        <v>320</v>
      </c>
    </row>
    <row r="365" spans="1:3" x14ac:dyDescent="0.25">
      <c r="A365" s="1"/>
      <c r="B365" s="1" t="s">
        <v>126</v>
      </c>
      <c r="C365" s="3">
        <v>190</v>
      </c>
    </row>
    <row r="366" spans="1:3" x14ac:dyDescent="0.25">
      <c r="A366" s="1"/>
      <c r="B366" s="1" t="s">
        <v>127</v>
      </c>
      <c r="C366" s="3">
        <v>454</v>
      </c>
    </row>
    <row r="367" spans="1:3" x14ac:dyDescent="0.25">
      <c r="A367" s="1"/>
      <c r="B367" s="10" t="s">
        <v>32</v>
      </c>
      <c r="C367" s="10">
        <f>SUM(C364:C366)</f>
        <v>964</v>
      </c>
    </row>
    <row r="368" spans="1:3" x14ac:dyDescent="0.25">
      <c r="A368" s="1"/>
      <c r="B368" s="1"/>
      <c r="C368" s="3"/>
    </row>
    <row r="369" spans="1:3" x14ac:dyDescent="0.25">
      <c r="A369" s="1">
        <v>7</v>
      </c>
      <c r="B369" s="2" t="s">
        <v>45</v>
      </c>
      <c r="C369" s="4" t="s">
        <v>9</v>
      </c>
    </row>
    <row r="370" spans="1:3" x14ac:dyDescent="0.25">
      <c r="A370" s="1"/>
      <c r="B370" s="1" t="s">
        <v>28</v>
      </c>
      <c r="C370" s="3">
        <v>700</v>
      </c>
    </row>
    <row r="371" spans="1:3" x14ac:dyDescent="0.25">
      <c r="A371" s="1"/>
      <c r="B371" s="1" t="s">
        <v>79</v>
      </c>
      <c r="C371" s="3">
        <v>1730</v>
      </c>
    </row>
    <row r="372" spans="1:3" x14ac:dyDescent="0.25">
      <c r="A372" s="1"/>
      <c r="B372" s="10" t="s">
        <v>32</v>
      </c>
      <c r="C372" s="10">
        <f>SUM(C369:C371)</f>
        <v>2430</v>
      </c>
    </row>
    <row r="373" spans="1:3" x14ac:dyDescent="0.25">
      <c r="A373" s="1"/>
      <c r="B373" s="1"/>
      <c r="C373" s="1"/>
    </row>
    <row r="374" spans="1:3" x14ac:dyDescent="0.25">
      <c r="A374" s="1">
        <v>8</v>
      </c>
      <c r="B374" s="2" t="s">
        <v>58</v>
      </c>
      <c r="C374" s="4" t="s">
        <v>9</v>
      </c>
    </row>
    <row r="375" spans="1:3" x14ac:dyDescent="0.25">
      <c r="A375" s="1"/>
      <c r="B375" s="1" t="s">
        <v>304</v>
      </c>
      <c r="C375" s="3">
        <v>19201</v>
      </c>
    </row>
    <row r="376" spans="1:3" x14ac:dyDescent="0.25">
      <c r="A376" s="1"/>
      <c r="B376" s="1" t="s">
        <v>305</v>
      </c>
      <c r="C376" s="3">
        <v>7399</v>
      </c>
    </row>
    <row r="377" spans="1:3" x14ac:dyDescent="0.25">
      <c r="A377" s="1"/>
      <c r="B377" s="1" t="s">
        <v>306</v>
      </c>
      <c r="C377" s="3">
        <v>7502</v>
      </c>
    </row>
    <row r="378" spans="1:3" x14ac:dyDescent="0.25">
      <c r="A378" s="1"/>
      <c r="B378" s="1" t="s">
        <v>404</v>
      </c>
      <c r="C378" s="3">
        <v>23164</v>
      </c>
    </row>
    <row r="379" spans="1:3" x14ac:dyDescent="0.25">
      <c r="A379" s="1"/>
      <c r="B379" s="1" t="s">
        <v>405</v>
      </c>
      <c r="C379" s="3">
        <v>21255</v>
      </c>
    </row>
    <row r="380" spans="1:3" x14ac:dyDescent="0.25">
      <c r="A380" s="1"/>
      <c r="B380" s="10" t="s">
        <v>32</v>
      </c>
      <c r="C380" s="10">
        <f>SUM(C375:C379)</f>
        <v>78521</v>
      </c>
    </row>
    <row r="381" spans="1:3" x14ac:dyDescent="0.25">
      <c r="A381" s="1"/>
      <c r="B381" s="1"/>
      <c r="C381" s="1"/>
    </row>
    <row r="382" spans="1:3" ht="17.25" x14ac:dyDescent="0.25">
      <c r="A382" s="1"/>
      <c r="B382" s="2" t="s">
        <v>149</v>
      </c>
      <c r="C382" s="12" t="s">
        <v>139</v>
      </c>
    </row>
    <row r="383" spans="1:3" x14ac:dyDescent="0.25">
      <c r="A383" s="1"/>
      <c r="B383" s="1"/>
      <c r="C383" s="1"/>
    </row>
    <row r="384" spans="1:3" x14ac:dyDescent="0.25">
      <c r="A384" s="1">
        <v>9</v>
      </c>
      <c r="B384" s="2" t="s">
        <v>151</v>
      </c>
      <c r="C384" s="4" t="s">
        <v>9</v>
      </c>
    </row>
    <row r="385" spans="1:3" x14ac:dyDescent="0.25">
      <c r="A385" s="1"/>
      <c r="B385" s="1" t="s">
        <v>378</v>
      </c>
      <c r="C385" s="8">
        <v>25970</v>
      </c>
    </row>
    <row r="386" spans="1:3" ht="17.25" x14ac:dyDescent="0.25">
      <c r="A386" s="1"/>
      <c r="B386" s="2" t="s">
        <v>25</v>
      </c>
      <c r="C386" s="12" t="s">
        <v>406</v>
      </c>
    </row>
    <row r="387" spans="1:3" x14ac:dyDescent="0.25">
      <c r="A387" s="1"/>
      <c r="B387" s="1"/>
      <c r="C387" s="1"/>
    </row>
    <row r="388" spans="1:3" x14ac:dyDescent="0.25">
      <c r="A388" s="1">
        <v>10</v>
      </c>
      <c r="B388" s="2" t="s">
        <v>158</v>
      </c>
      <c r="C388" s="4" t="s">
        <v>9</v>
      </c>
    </row>
    <row r="389" spans="1:3" x14ac:dyDescent="0.25">
      <c r="A389" s="1"/>
      <c r="B389" s="1" t="s">
        <v>44</v>
      </c>
      <c r="C389" s="3">
        <v>15040</v>
      </c>
    </row>
    <row r="390" spans="1:3" ht="14.25" customHeight="1" x14ac:dyDescent="0.25">
      <c r="A390" s="1"/>
      <c r="B390" s="1"/>
      <c r="C390" s="3"/>
    </row>
    <row r="391" spans="1:3" x14ac:dyDescent="0.25">
      <c r="A391" s="2">
        <v>11</v>
      </c>
      <c r="B391" s="2" t="s">
        <v>152</v>
      </c>
      <c r="C391" s="4" t="s">
        <v>9</v>
      </c>
    </row>
    <row r="392" spans="1:3" x14ac:dyDescent="0.25">
      <c r="A392" s="1"/>
      <c r="B392" s="1" t="s">
        <v>164</v>
      </c>
      <c r="C392" s="3">
        <v>713</v>
      </c>
    </row>
    <row r="393" spans="1:3" x14ac:dyDescent="0.25">
      <c r="A393" s="1"/>
      <c r="B393" s="1" t="s">
        <v>381</v>
      </c>
      <c r="C393" s="3">
        <v>2371</v>
      </c>
    </row>
    <row r="394" spans="1:3" x14ac:dyDescent="0.25">
      <c r="A394" s="1"/>
      <c r="B394" s="1" t="s">
        <v>378</v>
      </c>
      <c r="C394" s="3">
        <v>1634</v>
      </c>
    </row>
    <row r="395" spans="1:3" x14ac:dyDescent="0.25">
      <c r="A395" s="1"/>
      <c r="B395" s="1" t="s">
        <v>379</v>
      </c>
      <c r="C395" s="3">
        <v>1317</v>
      </c>
    </row>
    <row r="396" spans="1:3" x14ac:dyDescent="0.25">
      <c r="A396" s="1"/>
      <c r="B396" s="1" t="s">
        <v>380</v>
      </c>
      <c r="C396" s="3">
        <v>14262</v>
      </c>
    </row>
    <row r="397" spans="1:3" x14ac:dyDescent="0.25">
      <c r="A397" s="1"/>
      <c r="B397" s="10" t="s">
        <v>32</v>
      </c>
      <c r="C397" s="10">
        <f>SUM(C392:C396)</f>
        <v>20297</v>
      </c>
    </row>
    <row r="398" spans="1:3" x14ac:dyDescent="0.25">
      <c r="A398" s="1"/>
      <c r="B398" s="1"/>
      <c r="C398" s="3"/>
    </row>
    <row r="399" spans="1:3" x14ac:dyDescent="0.25">
      <c r="A399" s="2">
        <v>12</v>
      </c>
      <c r="B399" s="2" t="s">
        <v>153</v>
      </c>
      <c r="C399" s="3"/>
    </row>
    <row r="400" spans="1:3" x14ac:dyDescent="0.25">
      <c r="A400" s="1"/>
      <c r="B400" s="1" t="s">
        <v>65</v>
      </c>
      <c r="C400" s="3"/>
    </row>
    <row r="401" spans="1:3" ht="17.25" x14ac:dyDescent="0.25">
      <c r="A401" s="1"/>
      <c r="B401" s="1" t="s">
        <v>16</v>
      </c>
      <c r="C401" s="1" t="s">
        <v>444</v>
      </c>
    </row>
    <row r="402" spans="1:3" ht="17.25" x14ac:dyDescent="0.25">
      <c r="A402" s="1"/>
      <c r="B402" s="9" t="s">
        <v>17</v>
      </c>
      <c r="C402" s="1" t="s">
        <v>445</v>
      </c>
    </row>
    <row r="403" spans="1:3" x14ac:dyDescent="0.25">
      <c r="A403" s="1"/>
      <c r="B403" s="1"/>
      <c r="C403" s="3"/>
    </row>
    <row r="404" spans="1:3" x14ac:dyDescent="0.25">
      <c r="A404" s="1"/>
      <c r="B404" s="1" t="s">
        <v>154</v>
      </c>
      <c r="C404" s="4" t="s">
        <v>9</v>
      </c>
    </row>
    <row r="405" spans="1:3" x14ac:dyDescent="0.25">
      <c r="A405" s="1"/>
      <c r="B405" s="1" t="s">
        <v>124</v>
      </c>
      <c r="C405" s="3">
        <v>745</v>
      </c>
    </row>
    <row r="406" spans="1:3" x14ac:dyDescent="0.25">
      <c r="A406" s="1"/>
      <c r="B406" s="1"/>
      <c r="C406" s="3"/>
    </row>
    <row r="407" spans="1:3" ht="17.25" x14ac:dyDescent="0.25">
      <c r="A407" s="1"/>
      <c r="B407" s="2" t="s">
        <v>157</v>
      </c>
      <c r="C407" s="12" t="s">
        <v>139</v>
      </c>
    </row>
    <row r="408" spans="1:3" x14ac:dyDescent="0.25">
      <c r="A408" s="1"/>
      <c r="B408" s="1"/>
      <c r="C408" s="3"/>
    </row>
    <row r="409" spans="1:3" x14ac:dyDescent="0.25">
      <c r="A409" s="1">
        <v>13</v>
      </c>
      <c r="B409" s="2" t="s">
        <v>57</v>
      </c>
      <c r="C409" s="4" t="s">
        <v>9</v>
      </c>
    </row>
    <row r="410" spans="1:3" x14ac:dyDescent="0.25">
      <c r="A410" s="1"/>
      <c r="B410" s="1" t="s">
        <v>378</v>
      </c>
      <c r="C410" s="3">
        <v>26063</v>
      </c>
    </row>
    <row r="411" spans="1:3" x14ac:dyDescent="0.25">
      <c r="A411" s="1"/>
      <c r="B411" s="1" t="s">
        <v>379</v>
      </c>
      <c r="C411" s="3">
        <v>17226</v>
      </c>
    </row>
    <row r="412" spans="1:3" x14ac:dyDescent="0.25">
      <c r="A412" s="1"/>
      <c r="B412" s="1" t="s">
        <v>380</v>
      </c>
      <c r="C412" s="3">
        <v>11961</v>
      </c>
    </row>
    <row r="413" spans="1:3" x14ac:dyDescent="0.25">
      <c r="A413" s="1"/>
      <c r="B413" s="10" t="s">
        <v>32</v>
      </c>
      <c r="C413" s="10">
        <f>SUM(C410:C412)</f>
        <v>55250</v>
      </c>
    </row>
    <row r="414" spans="1:3" x14ac:dyDescent="0.25">
      <c r="A414" s="1"/>
      <c r="B414" s="1"/>
      <c r="C414" s="1"/>
    </row>
    <row r="415" spans="1:3" ht="17.25" x14ac:dyDescent="0.25">
      <c r="A415" s="1"/>
      <c r="B415" s="2" t="s">
        <v>443</v>
      </c>
      <c r="C415" s="12" t="s">
        <v>139</v>
      </c>
    </row>
  </sheetData>
  <mergeCells count="5">
    <mergeCell ref="A1:C1"/>
    <mergeCell ref="B2:C2"/>
    <mergeCell ref="B3:C3"/>
    <mergeCell ref="B165:C165"/>
    <mergeCell ref="B294:C29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761B-B4D0-4C3B-ACA4-FA567C98C265}">
  <sheetPr codeName="Sheet2"/>
  <dimension ref="A1:F369"/>
  <sheetViews>
    <sheetView workbookViewId="0">
      <selection activeCell="G12" sqref="G12"/>
    </sheetView>
  </sheetViews>
  <sheetFormatPr defaultRowHeight="15" x14ac:dyDescent="0.25"/>
  <cols>
    <col min="2" max="2" width="80.28515625" customWidth="1"/>
    <col min="3" max="3" width="67.42578125" customWidth="1"/>
  </cols>
  <sheetData>
    <row r="1" spans="1:3" x14ac:dyDescent="0.25">
      <c r="A1" s="20" t="s">
        <v>12</v>
      </c>
      <c r="B1" s="20"/>
      <c r="C1" s="20"/>
    </row>
    <row r="2" spans="1:3" x14ac:dyDescent="0.25">
      <c r="A2" s="5" t="s">
        <v>0</v>
      </c>
      <c r="B2" s="21" t="s">
        <v>168</v>
      </c>
      <c r="C2" s="21"/>
    </row>
    <row r="3" spans="1:3" s="7" customFormat="1" x14ac:dyDescent="0.25">
      <c r="A3" s="6"/>
      <c r="B3" s="22" t="s">
        <v>89</v>
      </c>
      <c r="C3" s="23"/>
    </row>
    <row r="4" spans="1:3" x14ac:dyDescent="0.25">
      <c r="A4" s="1">
        <v>1</v>
      </c>
      <c r="B4" s="2" t="s">
        <v>90</v>
      </c>
      <c r="C4" s="1"/>
    </row>
    <row r="5" spans="1:3" ht="17.25" x14ac:dyDescent="0.25">
      <c r="A5" s="1"/>
      <c r="B5" s="2" t="s">
        <v>33</v>
      </c>
      <c r="C5" s="1" t="s">
        <v>365</v>
      </c>
    </row>
    <row r="6" spans="1:3" x14ac:dyDescent="0.25">
      <c r="A6" s="1"/>
      <c r="B6" s="1" t="s">
        <v>4</v>
      </c>
    </row>
    <row r="7" spans="1:3" x14ac:dyDescent="0.25">
      <c r="A7" s="1"/>
      <c r="B7" s="1" t="s">
        <v>2</v>
      </c>
      <c r="C7" s="1" t="s">
        <v>364</v>
      </c>
    </row>
    <row r="8" spans="1:3" ht="17.25" x14ac:dyDescent="0.25">
      <c r="A8" s="1"/>
      <c r="B8" s="1" t="s">
        <v>1</v>
      </c>
      <c r="C8" s="1" t="s">
        <v>363</v>
      </c>
    </row>
    <row r="9" spans="1:3" ht="17.25" x14ac:dyDescent="0.25">
      <c r="A9" s="1"/>
      <c r="B9" s="1" t="s">
        <v>3</v>
      </c>
      <c r="C9" s="1" t="s">
        <v>366</v>
      </c>
    </row>
    <row r="10" spans="1:3" x14ac:dyDescent="0.25">
      <c r="A10" s="1"/>
      <c r="B10" s="1"/>
      <c r="C10" s="1"/>
    </row>
    <row r="11" spans="1:3" x14ac:dyDescent="0.25">
      <c r="A11" s="1"/>
      <c r="B11" s="1" t="s">
        <v>91</v>
      </c>
      <c r="C11" s="4" t="s">
        <v>9</v>
      </c>
    </row>
    <row r="12" spans="1:3" x14ac:dyDescent="0.25">
      <c r="A12" s="1"/>
      <c r="B12" s="1" t="s">
        <v>53</v>
      </c>
      <c r="C12" s="3">
        <v>750</v>
      </c>
    </row>
    <row r="13" spans="1:3" x14ac:dyDescent="0.25">
      <c r="A13" s="1"/>
      <c r="B13" s="1"/>
      <c r="C13" s="1"/>
    </row>
    <row r="14" spans="1:3" x14ac:dyDescent="0.25">
      <c r="A14" s="1">
        <v>2</v>
      </c>
      <c r="B14" s="2" t="s">
        <v>93</v>
      </c>
      <c r="C14" s="1"/>
    </row>
    <row r="15" spans="1:3" ht="17.25" x14ac:dyDescent="0.25">
      <c r="A15" s="1"/>
      <c r="B15" s="1" t="s">
        <v>7</v>
      </c>
      <c r="C15" s="1" t="s">
        <v>367</v>
      </c>
    </row>
    <row r="16" spans="1:3" x14ac:dyDescent="0.25">
      <c r="A16" s="1"/>
      <c r="B16" s="1" t="s">
        <v>2</v>
      </c>
      <c r="C16" s="1" t="s">
        <v>368</v>
      </c>
    </row>
    <row r="17" spans="1:3" ht="17.25" x14ac:dyDescent="0.25">
      <c r="A17" s="1"/>
      <c r="B17" s="1" t="s">
        <v>14</v>
      </c>
      <c r="C17" s="1" t="s">
        <v>369</v>
      </c>
    </row>
    <row r="18" spans="1:3" ht="17.25" x14ac:dyDescent="0.25">
      <c r="A18" s="1"/>
      <c r="B18" s="1" t="s">
        <v>316</v>
      </c>
      <c r="C18" s="1" t="s">
        <v>366</v>
      </c>
    </row>
    <row r="19" spans="1:3" x14ac:dyDescent="0.25">
      <c r="A19" s="1"/>
      <c r="B19" s="1"/>
      <c r="C19" s="1"/>
    </row>
    <row r="20" spans="1:3" x14ac:dyDescent="0.25">
      <c r="A20" s="1">
        <v>3</v>
      </c>
      <c r="B20" s="2" t="s">
        <v>97</v>
      </c>
      <c r="C20" s="4" t="s">
        <v>9</v>
      </c>
    </row>
    <row r="21" spans="1:3" x14ac:dyDescent="0.25">
      <c r="A21" s="1"/>
      <c r="B21" s="1" t="s">
        <v>56</v>
      </c>
      <c r="C21" s="3">
        <v>2805</v>
      </c>
    </row>
    <row r="22" spans="1:3" x14ac:dyDescent="0.25">
      <c r="A22" s="1"/>
      <c r="B22" s="1" t="s">
        <v>75</v>
      </c>
      <c r="C22" s="3">
        <v>14390</v>
      </c>
    </row>
    <row r="23" spans="1:3" x14ac:dyDescent="0.25">
      <c r="A23" s="1"/>
      <c r="B23" s="10" t="s">
        <v>32</v>
      </c>
      <c r="C23" s="13">
        <f>SUM(C21:C22)</f>
        <v>17195</v>
      </c>
    </row>
    <row r="24" spans="1:3" x14ac:dyDescent="0.25">
      <c r="A24" s="1"/>
      <c r="B24" s="1"/>
      <c r="C24" s="1"/>
    </row>
    <row r="25" spans="1:3" x14ac:dyDescent="0.25">
      <c r="A25" s="1">
        <v>4</v>
      </c>
      <c r="B25" s="2" t="s">
        <v>96</v>
      </c>
      <c r="C25" s="4" t="s">
        <v>9</v>
      </c>
    </row>
    <row r="26" spans="1:3" x14ac:dyDescent="0.25">
      <c r="A26" s="1"/>
      <c r="B26" s="1" t="s">
        <v>370</v>
      </c>
      <c r="C26" s="3">
        <v>395</v>
      </c>
    </row>
    <row r="27" spans="1:3" x14ac:dyDescent="0.25">
      <c r="A27" s="1"/>
      <c r="B27" s="1" t="s">
        <v>371</v>
      </c>
      <c r="C27" s="3">
        <v>895</v>
      </c>
    </row>
    <row r="28" spans="1:3" x14ac:dyDescent="0.25">
      <c r="A28" s="1"/>
      <c r="B28" s="1" t="s">
        <v>372</v>
      </c>
      <c r="C28" s="3">
        <v>305</v>
      </c>
    </row>
    <row r="29" spans="1:3" x14ac:dyDescent="0.25">
      <c r="A29" s="1"/>
      <c r="B29" s="1" t="s">
        <v>373</v>
      </c>
      <c r="C29" s="3">
        <v>235</v>
      </c>
    </row>
    <row r="30" spans="1:3" x14ac:dyDescent="0.25">
      <c r="A30" s="1"/>
      <c r="B30" s="10" t="s">
        <v>32</v>
      </c>
      <c r="C30" s="13">
        <f>SUM(C26:C29)</f>
        <v>1830</v>
      </c>
    </row>
    <row r="31" spans="1:3" x14ac:dyDescent="0.25">
      <c r="A31" s="1"/>
      <c r="B31" s="10"/>
      <c r="C31" s="13"/>
    </row>
    <row r="32" spans="1:3" ht="17.25" x14ac:dyDescent="0.25">
      <c r="A32" s="1"/>
      <c r="B32" s="16" t="s">
        <v>98</v>
      </c>
      <c r="C32" s="9" t="s">
        <v>374</v>
      </c>
    </row>
    <row r="33" spans="1:3" x14ac:dyDescent="0.25">
      <c r="A33" s="1"/>
      <c r="B33" s="1"/>
      <c r="C33" s="1"/>
    </row>
    <row r="34" spans="1:3" x14ac:dyDescent="0.25">
      <c r="A34" s="1">
        <v>5</v>
      </c>
      <c r="B34" s="2" t="s">
        <v>104</v>
      </c>
      <c r="C34" s="4" t="s">
        <v>9</v>
      </c>
    </row>
    <row r="35" spans="1:3" x14ac:dyDescent="0.25">
      <c r="A35" s="1"/>
      <c r="B35" s="1" t="s">
        <v>53</v>
      </c>
      <c r="C35" s="3">
        <v>5376</v>
      </c>
    </row>
    <row r="36" spans="1:3" x14ac:dyDescent="0.25">
      <c r="A36" s="1"/>
      <c r="B36" s="1" t="s">
        <v>54</v>
      </c>
      <c r="C36" s="3">
        <v>3159</v>
      </c>
    </row>
    <row r="37" spans="1:3" x14ac:dyDescent="0.25">
      <c r="A37" s="1"/>
      <c r="B37" s="1" t="s">
        <v>8</v>
      </c>
      <c r="C37" s="3">
        <v>12178</v>
      </c>
    </row>
    <row r="38" spans="1:3" x14ac:dyDescent="0.25">
      <c r="A38" s="1"/>
      <c r="B38" s="1" t="s">
        <v>55</v>
      </c>
      <c r="C38" s="3">
        <v>4585</v>
      </c>
    </row>
    <row r="39" spans="1:3" x14ac:dyDescent="0.25">
      <c r="A39" s="1"/>
      <c r="B39" s="1" t="s">
        <v>56</v>
      </c>
      <c r="C39" s="3">
        <v>5143</v>
      </c>
    </row>
    <row r="40" spans="1:3" x14ac:dyDescent="0.25">
      <c r="A40" s="1"/>
      <c r="B40" s="10" t="s">
        <v>32</v>
      </c>
      <c r="C40" s="13">
        <f>SUM(C35:C39)</f>
        <v>30441</v>
      </c>
    </row>
    <row r="41" spans="1:3" x14ac:dyDescent="0.25">
      <c r="A41" s="1"/>
      <c r="B41" s="1"/>
      <c r="C41" s="1"/>
    </row>
    <row r="42" spans="1:3" x14ac:dyDescent="0.25">
      <c r="A42" s="2">
        <v>6</v>
      </c>
      <c r="B42" s="2" t="s">
        <v>107</v>
      </c>
      <c r="C42" s="3"/>
    </row>
    <row r="43" spans="1:3" x14ac:dyDescent="0.25">
      <c r="A43" s="1"/>
      <c r="B43" s="1" t="s">
        <v>108</v>
      </c>
      <c r="C43" s="3"/>
    </row>
    <row r="44" spans="1:3" ht="17.25" x14ac:dyDescent="0.25">
      <c r="A44" s="1"/>
      <c r="B44" s="1" t="s">
        <v>16</v>
      </c>
      <c r="C44" s="1" t="s">
        <v>375</v>
      </c>
    </row>
    <row r="45" spans="1:3" ht="17.25" x14ac:dyDescent="0.25">
      <c r="A45" s="1"/>
      <c r="B45" s="9" t="s">
        <v>17</v>
      </c>
      <c r="C45" s="1" t="s">
        <v>376</v>
      </c>
    </row>
    <row r="46" spans="1:3" x14ac:dyDescent="0.25">
      <c r="A46" s="1"/>
      <c r="B46" s="1" t="s">
        <v>2</v>
      </c>
      <c r="C46" s="1" t="s">
        <v>368</v>
      </c>
    </row>
    <row r="47" spans="1:3" x14ac:dyDescent="0.25">
      <c r="A47" s="1"/>
      <c r="B47" s="1"/>
      <c r="C47" s="3"/>
    </row>
    <row r="48" spans="1:3" x14ac:dyDescent="0.25">
      <c r="A48" s="1"/>
      <c r="B48" s="1" t="s">
        <v>109</v>
      </c>
      <c r="C48" s="4" t="s">
        <v>9</v>
      </c>
    </row>
    <row r="49" spans="1:3" x14ac:dyDescent="0.25">
      <c r="A49" s="1"/>
      <c r="B49" s="1" t="s">
        <v>53</v>
      </c>
      <c r="C49" s="3">
        <v>298</v>
      </c>
    </row>
    <row r="50" spans="1:3" x14ac:dyDescent="0.25">
      <c r="A50" s="1"/>
      <c r="B50" s="1" t="s">
        <v>54</v>
      </c>
      <c r="C50" s="3">
        <v>279</v>
      </c>
    </row>
    <row r="51" spans="1:3" x14ac:dyDescent="0.25">
      <c r="A51" s="1"/>
      <c r="B51" s="1" t="s">
        <v>8</v>
      </c>
      <c r="C51" s="3">
        <v>280</v>
      </c>
    </row>
    <row r="52" spans="1:3" x14ac:dyDescent="0.25">
      <c r="A52" s="1"/>
      <c r="B52" s="1" t="s">
        <v>55</v>
      </c>
      <c r="C52" s="3">
        <v>2390</v>
      </c>
    </row>
    <row r="53" spans="1:3" x14ac:dyDescent="0.25">
      <c r="A53" s="1"/>
      <c r="B53" s="1" t="s">
        <v>56</v>
      </c>
      <c r="C53" s="3">
        <v>1935</v>
      </c>
    </row>
    <row r="54" spans="1:3" x14ac:dyDescent="0.25">
      <c r="A54" s="1"/>
      <c r="B54" s="10" t="s">
        <v>32</v>
      </c>
      <c r="C54" s="13">
        <f>SUM(C49:C53)</f>
        <v>5182</v>
      </c>
    </row>
    <row r="55" spans="1:3" x14ac:dyDescent="0.25">
      <c r="A55" s="1"/>
      <c r="B55" s="1"/>
      <c r="C55" s="1"/>
    </row>
    <row r="56" spans="1:3" ht="17.25" x14ac:dyDescent="0.25">
      <c r="A56" s="1"/>
      <c r="B56" s="16" t="s">
        <v>19</v>
      </c>
      <c r="C56" s="9" t="s">
        <v>377</v>
      </c>
    </row>
    <row r="57" spans="1:3" x14ac:dyDescent="0.25">
      <c r="A57" s="1"/>
      <c r="B57" s="1"/>
      <c r="C57" s="1"/>
    </row>
    <row r="58" spans="1:3" x14ac:dyDescent="0.25">
      <c r="A58" s="1">
        <v>7</v>
      </c>
      <c r="B58" s="2" t="s">
        <v>99</v>
      </c>
      <c r="C58" s="4" t="s">
        <v>9</v>
      </c>
    </row>
    <row r="59" spans="1:3" x14ac:dyDescent="0.25">
      <c r="A59" s="1"/>
      <c r="B59" s="1" t="s">
        <v>125</v>
      </c>
      <c r="C59" s="3">
        <v>400</v>
      </c>
    </row>
    <row r="60" spans="1:3" x14ac:dyDescent="0.25">
      <c r="A60" s="1"/>
      <c r="B60" s="1" t="s">
        <v>126</v>
      </c>
      <c r="C60" s="3">
        <v>230</v>
      </c>
    </row>
    <row r="61" spans="1:3" x14ac:dyDescent="0.25">
      <c r="A61" s="1"/>
      <c r="B61" s="1" t="s">
        <v>127</v>
      </c>
      <c r="C61" s="3">
        <v>20960</v>
      </c>
    </row>
    <row r="62" spans="1:3" x14ac:dyDescent="0.25">
      <c r="A62" s="1"/>
      <c r="B62" s="1" t="s">
        <v>128</v>
      </c>
      <c r="C62" s="3">
        <v>3730</v>
      </c>
    </row>
    <row r="63" spans="1:3" x14ac:dyDescent="0.25">
      <c r="A63" s="1"/>
      <c r="B63" s="10" t="s">
        <v>32</v>
      </c>
      <c r="C63" s="13">
        <f>SUM(C59:C62)</f>
        <v>25320</v>
      </c>
    </row>
    <row r="64" spans="1:3" x14ac:dyDescent="0.25">
      <c r="A64" s="1"/>
      <c r="B64" s="1"/>
      <c r="C64" s="1"/>
    </row>
    <row r="65" spans="1:3" x14ac:dyDescent="0.25">
      <c r="A65" s="2">
        <v>8</v>
      </c>
      <c r="B65" s="2" t="s">
        <v>101</v>
      </c>
      <c r="C65" s="4" t="s">
        <v>9</v>
      </c>
    </row>
    <row r="66" spans="1:3" x14ac:dyDescent="0.25">
      <c r="A66" s="2"/>
      <c r="B66" s="1" t="s">
        <v>381</v>
      </c>
      <c r="C66" s="3">
        <v>1145</v>
      </c>
    </row>
    <row r="67" spans="1:3" x14ac:dyDescent="0.25">
      <c r="A67" s="1"/>
      <c r="B67" s="1" t="s">
        <v>378</v>
      </c>
      <c r="C67" s="3">
        <v>20818</v>
      </c>
    </row>
    <row r="68" spans="1:3" x14ac:dyDescent="0.25">
      <c r="A68" s="1"/>
      <c r="B68" s="1" t="s">
        <v>379</v>
      </c>
      <c r="C68" s="3">
        <v>14110</v>
      </c>
    </row>
    <row r="69" spans="1:3" x14ac:dyDescent="0.25">
      <c r="A69" s="1"/>
      <c r="B69" s="1" t="s">
        <v>380</v>
      </c>
      <c r="C69" s="3">
        <v>13565</v>
      </c>
    </row>
    <row r="70" spans="1:3" x14ac:dyDescent="0.25">
      <c r="A70" s="1"/>
      <c r="B70" s="10" t="s">
        <v>32</v>
      </c>
      <c r="C70" s="13">
        <f>SUM(C66:C69)</f>
        <v>49638</v>
      </c>
    </row>
    <row r="71" spans="1:3" x14ac:dyDescent="0.25">
      <c r="A71" s="1"/>
      <c r="B71" s="1"/>
      <c r="C71" s="1"/>
    </row>
    <row r="72" spans="1:3" ht="17.25" x14ac:dyDescent="0.25">
      <c r="A72" s="1"/>
      <c r="B72" s="16" t="s">
        <v>30</v>
      </c>
      <c r="C72" s="12" t="s">
        <v>205</v>
      </c>
    </row>
    <row r="73" spans="1:3" x14ac:dyDescent="0.25">
      <c r="A73" s="1"/>
      <c r="B73" s="1"/>
      <c r="C73" s="1"/>
    </row>
    <row r="74" spans="1:3" x14ac:dyDescent="0.25">
      <c r="A74" s="1">
        <v>9</v>
      </c>
      <c r="B74" s="2" t="s">
        <v>103</v>
      </c>
      <c r="C74" s="4" t="s">
        <v>9</v>
      </c>
    </row>
    <row r="75" spans="1:3" x14ac:dyDescent="0.25">
      <c r="A75" s="1"/>
      <c r="B75" s="1" t="s">
        <v>78</v>
      </c>
      <c r="C75" s="3">
        <v>395</v>
      </c>
    </row>
    <row r="76" spans="1:3" x14ac:dyDescent="0.25">
      <c r="A76" s="1"/>
      <c r="B76" s="1" t="s">
        <v>29</v>
      </c>
      <c r="C76" s="3">
        <v>2370</v>
      </c>
    </row>
    <row r="77" spans="1:3" x14ac:dyDescent="0.25">
      <c r="A77" s="1"/>
      <c r="B77" s="1" t="s">
        <v>15</v>
      </c>
      <c r="C77" s="3">
        <v>17140</v>
      </c>
    </row>
    <row r="78" spans="1:3" x14ac:dyDescent="0.25">
      <c r="A78" s="1"/>
      <c r="B78" s="1" t="s">
        <v>28</v>
      </c>
      <c r="C78" s="3">
        <v>4399</v>
      </c>
    </row>
    <row r="79" spans="1:3" x14ac:dyDescent="0.25">
      <c r="A79" s="1"/>
      <c r="B79" s="10" t="s">
        <v>32</v>
      </c>
      <c r="C79" s="13">
        <f>SUM(C75:C78)</f>
        <v>24304</v>
      </c>
    </row>
    <row r="80" spans="1:3" x14ac:dyDescent="0.25">
      <c r="A80" s="1"/>
      <c r="B80" s="10"/>
      <c r="C80" s="13"/>
    </row>
    <row r="81" spans="1:3" x14ac:dyDescent="0.25">
      <c r="A81" s="2">
        <v>10</v>
      </c>
      <c r="B81" s="2" t="s">
        <v>116</v>
      </c>
      <c r="C81" s="3"/>
    </row>
    <row r="82" spans="1:3" x14ac:dyDescent="0.25">
      <c r="A82" s="1"/>
      <c r="B82" s="1" t="s">
        <v>110</v>
      </c>
      <c r="C82" s="3"/>
    </row>
    <row r="83" spans="1:3" ht="17.25" x14ac:dyDescent="0.25">
      <c r="A83" s="1"/>
      <c r="B83" s="1" t="s">
        <v>16</v>
      </c>
      <c r="C83" s="1" t="s">
        <v>383</v>
      </c>
    </row>
    <row r="84" spans="1:3" ht="17.25" x14ac:dyDescent="0.25">
      <c r="A84" s="1"/>
      <c r="B84" s="9" t="s">
        <v>17</v>
      </c>
      <c r="C84" s="1" t="s">
        <v>382</v>
      </c>
    </row>
    <row r="85" spans="1:3" x14ac:dyDescent="0.25">
      <c r="A85" s="1"/>
      <c r="B85" s="1" t="s">
        <v>2</v>
      </c>
      <c r="C85" s="1" t="s">
        <v>368</v>
      </c>
    </row>
    <row r="86" spans="1:3" x14ac:dyDescent="0.25">
      <c r="A86" s="1"/>
      <c r="B86" s="1"/>
      <c r="C86" s="3"/>
    </row>
    <row r="87" spans="1:3" x14ac:dyDescent="0.25">
      <c r="A87" s="1"/>
      <c r="B87" s="1" t="s">
        <v>113</v>
      </c>
      <c r="C87" s="4" t="s">
        <v>9</v>
      </c>
    </row>
    <row r="88" spans="1:3" x14ac:dyDescent="0.25">
      <c r="A88" s="1"/>
      <c r="B88" s="1" t="s">
        <v>78</v>
      </c>
      <c r="C88" s="3">
        <v>6880</v>
      </c>
    </row>
    <row r="89" spans="1:3" x14ac:dyDescent="0.25">
      <c r="A89" s="1"/>
      <c r="B89" s="1" t="s">
        <v>29</v>
      </c>
      <c r="C89" s="3">
        <v>1645</v>
      </c>
    </row>
    <row r="90" spans="1:3" x14ac:dyDescent="0.25">
      <c r="A90" s="1"/>
      <c r="B90" s="1" t="s">
        <v>15</v>
      </c>
      <c r="C90" s="3">
        <v>1275</v>
      </c>
    </row>
    <row r="91" spans="1:3" x14ac:dyDescent="0.25">
      <c r="A91" s="1"/>
      <c r="B91" s="1" t="s">
        <v>28</v>
      </c>
      <c r="C91" s="3">
        <v>689</v>
      </c>
    </row>
    <row r="92" spans="1:3" x14ac:dyDescent="0.25">
      <c r="A92" s="1"/>
      <c r="B92" s="1" t="s">
        <v>79</v>
      </c>
      <c r="C92" s="3">
        <v>285</v>
      </c>
    </row>
    <row r="93" spans="1:3" x14ac:dyDescent="0.25">
      <c r="A93" s="1"/>
      <c r="B93" s="10" t="s">
        <v>32</v>
      </c>
      <c r="C93" s="13">
        <f>SUM(C88:C92)</f>
        <v>10774</v>
      </c>
    </row>
    <row r="94" spans="1:3" x14ac:dyDescent="0.25">
      <c r="A94" s="1"/>
      <c r="B94" s="10"/>
      <c r="C94" s="13"/>
    </row>
    <row r="95" spans="1:3" ht="17.25" x14ac:dyDescent="0.25">
      <c r="A95" s="1"/>
      <c r="B95" s="16" t="s">
        <v>115</v>
      </c>
      <c r="C95" s="12" t="s">
        <v>384</v>
      </c>
    </row>
    <row r="96" spans="1:3" x14ac:dyDescent="0.25">
      <c r="A96" s="1"/>
      <c r="B96" s="16"/>
      <c r="C96" s="12"/>
    </row>
    <row r="97" spans="1:3" x14ac:dyDescent="0.25">
      <c r="A97" s="1">
        <v>11</v>
      </c>
      <c r="B97" s="2" t="s">
        <v>117</v>
      </c>
      <c r="C97" s="4" t="s">
        <v>9</v>
      </c>
    </row>
    <row r="98" spans="1:3" x14ac:dyDescent="0.25">
      <c r="A98" s="1"/>
      <c r="B98" s="1" t="s">
        <v>385</v>
      </c>
      <c r="C98" s="3">
        <v>1620</v>
      </c>
    </row>
    <row r="99" spans="1:3" x14ac:dyDescent="0.25">
      <c r="A99" s="1"/>
      <c r="B99" s="10"/>
      <c r="C99" s="13"/>
    </row>
    <row r="100" spans="1:3" x14ac:dyDescent="0.25">
      <c r="A100" s="1">
        <v>12</v>
      </c>
      <c r="B100" s="2" t="s">
        <v>118</v>
      </c>
      <c r="C100" s="4" t="s">
        <v>9</v>
      </c>
    </row>
    <row r="101" spans="1:3" x14ac:dyDescent="0.25">
      <c r="A101" s="1"/>
      <c r="B101" s="1" t="s">
        <v>164</v>
      </c>
      <c r="C101" s="17">
        <v>6620</v>
      </c>
    </row>
    <row r="102" spans="1:3" x14ac:dyDescent="0.25">
      <c r="A102" s="1"/>
      <c r="B102" s="1" t="s">
        <v>381</v>
      </c>
      <c r="C102" s="18">
        <v>3710</v>
      </c>
    </row>
    <row r="103" spans="1:3" x14ac:dyDescent="0.25">
      <c r="A103" s="1"/>
      <c r="B103" s="1" t="s">
        <v>378</v>
      </c>
      <c r="C103" s="18">
        <v>10610</v>
      </c>
    </row>
    <row r="104" spans="1:3" x14ac:dyDescent="0.25">
      <c r="A104" s="1"/>
      <c r="B104" s="1" t="s">
        <v>379</v>
      </c>
      <c r="C104" s="18">
        <v>8225</v>
      </c>
    </row>
    <row r="105" spans="1:3" x14ac:dyDescent="0.25">
      <c r="A105" s="1"/>
      <c r="B105" s="10" t="s">
        <v>32</v>
      </c>
      <c r="C105" s="13">
        <f>SUM(C100:C104)</f>
        <v>29165</v>
      </c>
    </row>
    <row r="106" spans="1:3" x14ac:dyDescent="0.25">
      <c r="A106" s="1"/>
      <c r="B106" s="10"/>
      <c r="C106" s="15"/>
    </row>
    <row r="107" spans="1:3" x14ac:dyDescent="0.25">
      <c r="A107" s="2">
        <v>13</v>
      </c>
      <c r="B107" s="2" t="s">
        <v>120</v>
      </c>
      <c r="C107" s="3"/>
    </row>
    <row r="108" spans="1:3" x14ac:dyDescent="0.25">
      <c r="A108" s="1"/>
      <c r="B108" s="1" t="s">
        <v>119</v>
      </c>
      <c r="C108" s="3"/>
    </row>
    <row r="109" spans="1:3" ht="17.25" x14ac:dyDescent="0.25">
      <c r="A109" s="1"/>
      <c r="B109" s="1" t="s">
        <v>16</v>
      </c>
      <c r="C109" s="1" t="s">
        <v>429</v>
      </c>
    </row>
    <row r="110" spans="1:3" ht="17.25" x14ac:dyDescent="0.25">
      <c r="A110" s="1"/>
      <c r="B110" s="9" t="s">
        <v>17</v>
      </c>
      <c r="C110" s="1" t="s">
        <v>402</v>
      </c>
    </row>
    <row r="111" spans="1:3" x14ac:dyDescent="0.25">
      <c r="A111" s="1"/>
      <c r="B111" s="1"/>
      <c r="C111" s="3"/>
    </row>
    <row r="112" spans="1:3" x14ac:dyDescent="0.25">
      <c r="A112" s="1"/>
      <c r="B112" s="1" t="s">
        <v>121</v>
      </c>
      <c r="C112" s="4" t="s">
        <v>9</v>
      </c>
    </row>
    <row r="113" spans="1:3" x14ac:dyDescent="0.25">
      <c r="A113" s="1"/>
      <c r="B113" s="1" t="s">
        <v>164</v>
      </c>
      <c r="C113" s="3">
        <v>405</v>
      </c>
    </row>
    <row r="114" spans="1:3" x14ac:dyDescent="0.25">
      <c r="A114" s="1"/>
      <c r="B114" s="1" t="s">
        <v>381</v>
      </c>
      <c r="C114" s="3">
        <v>905</v>
      </c>
    </row>
    <row r="115" spans="1:3" x14ac:dyDescent="0.25">
      <c r="A115" s="1"/>
      <c r="B115" s="10" t="s">
        <v>32</v>
      </c>
      <c r="C115" s="13">
        <f>SUM(C113:C114)</f>
        <v>1310</v>
      </c>
    </row>
    <row r="116" spans="1:3" x14ac:dyDescent="0.25">
      <c r="A116" s="1"/>
      <c r="B116" s="10"/>
      <c r="C116" s="15"/>
    </row>
    <row r="117" spans="1:3" x14ac:dyDescent="0.25">
      <c r="A117" s="1"/>
      <c r="B117" s="1" t="s">
        <v>122</v>
      </c>
      <c r="C117" s="4" t="s">
        <v>9</v>
      </c>
    </row>
    <row r="118" spans="1:3" x14ac:dyDescent="0.25">
      <c r="A118" s="1"/>
      <c r="B118" s="1" t="s">
        <v>386</v>
      </c>
      <c r="C118" s="3">
        <v>240</v>
      </c>
    </row>
    <row r="119" spans="1:3" x14ac:dyDescent="0.25">
      <c r="A119" s="1"/>
      <c r="B119" s="1"/>
      <c r="C119" s="3"/>
    </row>
    <row r="120" spans="1:3" ht="17.25" x14ac:dyDescent="0.25">
      <c r="A120" s="1"/>
      <c r="B120" s="16" t="s">
        <v>161</v>
      </c>
      <c r="C120" s="12" t="s">
        <v>388</v>
      </c>
    </row>
    <row r="121" spans="1:3" x14ac:dyDescent="0.25">
      <c r="A121" s="1"/>
      <c r="B121" s="10"/>
      <c r="C121" s="13"/>
    </row>
    <row r="122" spans="1:3" x14ac:dyDescent="0.25">
      <c r="A122" s="1"/>
      <c r="B122" s="1" t="s">
        <v>123</v>
      </c>
      <c r="C122" s="4" t="s">
        <v>9</v>
      </c>
    </row>
    <row r="123" spans="1:3" x14ac:dyDescent="0.25">
      <c r="A123" s="1"/>
      <c r="B123" s="1" t="s">
        <v>386</v>
      </c>
      <c r="C123" s="3">
        <v>2950</v>
      </c>
    </row>
    <row r="124" spans="1:3" x14ac:dyDescent="0.25">
      <c r="A124" s="1"/>
      <c r="B124" s="1" t="s">
        <v>430</v>
      </c>
      <c r="C124" s="3">
        <v>3820</v>
      </c>
    </row>
    <row r="125" spans="1:3" x14ac:dyDescent="0.25">
      <c r="A125" s="1"/>
      <c r="B125" s="10" t="s">
        <v>32</v>
      </c>
      <c r="C125" s="13">
        <f>SUM(C123:C124)</f>
        <v>6770</v>
      </c>
    </row>
    <row r="126" spans="1:3" x14ac:dyDescent="0.25">
      <c r="A126" s="1"/>
      <c r="B126" s="10"/>
      <c r="C126" s="13"/>
    </row>
    <row r="127" spans="1:3" ht="17.25" x14ac:dyDescent="0.25">
      <c r="A127" s="1"/>
      <c r="B127" s="16" t="s">
        <v>162</v>
      </c>
      <c r="C127" s="12" t="s">
        <v>388</v>
      </c>
    </row>
    <row r="128" spans="1:3" x14ac:dyDescent="0.25">
      <c r="A128" s="1"/>
      <c r="B128" s="10"/>
      <c r="C128" s="13"/>
    </row>
    <row r="129" spans="1:3" x14ac:dyDescent="0.25">
      <c r="A129" s="1">
        <v>14</v>
      </c>
      <c r="B129" s="2" t="s">
        <v>134</v>
      </c>
      <c r="C129" s="4" t="s">
        <v>9</v>
      </c>
    </row>
    <row r="130" spans="1:3" x14ac:dyDescent="0.25">
      <c r="A130" s="1"/>
      <c r="B130" s="1" t="s">
        <v>125</v>
      </c>
      <c r="C130" s="17">
        <v>6475</v>
      </c>
    </row>
    <row r="131" spans="1:3" x14ac:dyDescent="0.25">
      <c r="A131" s="1"/>
      <c r="B131" s="1" t="s">
        <v>126</v>
      </c>
      <c r="C131" s="18">
        <v>7472</v>
      </c>
    </row>
    <row r="132" spans="1:3" x14ac:dyDescent="0.25">
      <c r="A132" s="1"/>
      <c r="B132" s="1" t="s">
        <v>127</v>
      </c>
      <c r="C132" s="18">
        <v>15809</v>
      </c>
    </row>
    <row r="133" spans="1:3" x14ac:dyDescent="0.25">
      <c r="A133" s="1"/>
      <c r="B133" s="1" t="s">
        <v>128</v>
      </c>
      <c r="C133" s="18">
        <v>15725</v>
      </c>
    </row>
    <row r="134" spans="1:3" x14ac:dyDescent="0.25">
      <c r="A134" s="1"/>
      <c r="B134" s="1" t="s">
        <v>129</v>
      </c>
      <c r="C134" s="18">
        <v>21025</v>
      </c>
    </row>
    <row r="135" spans="1:3" x14ac:dyDescent="0.25">
      <c r="A135" s="1"/>
      <c r="B135" s="1" t="s">
        <v>130</v>
      </c>
      <c r="C135" s="18">
        <v>73878</v>
      </c>
    </row>
    <row r="136" spans="1:3" x14ac:dyDescent="0.25">
      <c r="A136" s="1"/>
      <c r="B136" s="1" t="s">
        <v>131</v>
      </c>
      <c r="C136" s="18">
        <v>13657</v>
      </c>
    </row>
    <row r="137" spans="1:3" x14ac:dyDescent="0.25">
      <c r="A137" s="1"/>
      <c r="B137" s="10" t="s">
        <v>32</v>
      </c>
      <c r="C137" s="13">
        <f>SUM(C130:C136)</f>
        <v>154041</v>
      </c>
    </row>
    <row r="138" spans="1:3" x14ac:dyDescent="0.25">
      <c r="A138" s="1"/>
      <c r="B138" s="10"/>
      <c r="C138" s="13"/>
    </row>
    <row r="139" spans="1:3" x14ac:dyDescent="0.25">
      <c r="A139" s="1">
        <v>15</v>
      </c>
      <c r="B139" s="2" t="s">
        <v>133</v>
      </c>
      <c r="C139" s="4" t="s">
        <v>9</v>
      </c>
    </row>
    <row r="140" spans="1:3" x14ac:dyDescent="0.25">
      <c r="A140" s="1"/>
      <c r="B140" s="1" t="s">
        <v>431</v>
      </c>
      <c r="C140" s="17">
        <v>195</v>
      </c>
    </row>
    <row r="141" spans="1:3" x14ac:dyDescent="0.25">
      <c r="A141" s="1"/>
      <c r="B141" s="1" t="s">
        <v>370</v>
      </c>
      <c r="C141" s="18">
        <v>608</v>
      </c>
    </row>
    <row r="142" spans="1:3" x14ac:dyDescent="0.25">
      <c r="A142" s="1"/>
      <c r="B142" s="10" t="s">
        <v>32</v>
      </c>
      <c r="C142" s="13">
        <f>SUM(C139:C141)</f>
        <v>803</v>
      </c>
    </row>
    <row r="143" spans="1:3" x14ac:dyDescent="0.25">
      <c r="A143" s="1"/>
      <c r="B143" s="10"/>
      <c r="C143" s="13"/>
    </row>
    <row r="144" spans="1:3" ht="17.25" x14ac:dyDescent="0.25">
      <c r="A144" s="1"/>
      <c r="B144" s="16" t="s">
        <v>163</v>
      </c>
      <c r="C144" s="12" t="s">
        <v>406</v>
      </c>
    </row>
    <row r="145" spans="1:3" x14ac:dyDescent="0.25">
      <c r="A145" s="1"/>
      <c r="B145" s="10"/>
      <c r="C145" s="13"/>
    </row>
    <row r="146" spans="1:3" x14ac:dyDescent="0.25">
      <c r="A146" s="1">
        <v>16</v>
      </c>
      <c r="B146" s="2" t="s">
        <v>136</v>
      </c>
      <c r="C146" s="4" t="s">
        <v>9</v>
      </c>
    </row>
    <row r="147" spans="1:3" x14ac:dyDescent="0.25">
      <c r="A147" s="1"/>
      <c r="B147" s="1" t="s">
        <v>370</v>
      </c>
      <c r="C147" s="17">
        <v>1580</v>
      </c>
    </row>
    <row r="148" spans="1:3" x14ac:dyDescent="0.25">
      <c r="A148" s="1"/>
      <c r="B148" s="1"/>
      <c r="C148" s="1"/>
    </row>
    <row r="149" spans="1:3" x14ac:dyDescent="0.25">
      <c r="A149" s="1">
        <v>17</v>
      </c>
      <c r="B149" s="2" t="s">
        <v>137</v>
      </c>
      <c r="C149" s="4" t="s">
        <v>9</v>
      </c>
    </row>
    <row r="150" spans="1:3" x14ac:dyDescent="0.25">
      <c r="A150" s="1"/>
      <c r="B150" s="1" t="s">
        <v>432</v>
      </c>
      <c r="C150" s="17">
        <v>620</v>
      </c>
    </row>
    <row r="151" spans="1:3" x14ac:dyDescent="0.25">
      <c r="A151" s="1"/>
      <c r="B151" s="1"/>
      <c r="C151" s="17"/>
    </row>
    <row r="152" spans="1:3" ht="17.25" x14ac:dyDescent="0.25">
      <c r="A152" s="1"/>
      <c r="B152" s="16" t="s">
        <v>165</v>
      </c>
      <c r="C152" s="12" t="s">
        <v>166</v>
      </c>
    </row>
    <row r="153" spans="1:3" x14ac:dyDescent="0.25">
      <c r="A153" s="1"/>
      <c r="B153" s="10"/>
      <c r="C153" s="13"/>
    </row>
    <row r="154" spans="1:3" x14ac:dyDescent="0.25">
      <c r="A154" s="1">
        <v>18</v>
      </c>
      <c r="B154" s="2" t="s">
        <v>138</v>
      </c>
      <c r="C154" s="4" t="s">
        <v>9</v>
      </c>
    </row>
    <row r="155" spans="1:3" x14ac:dyDescent="0.25">
      <c r="A155" s="1"/>
      <c r="B155" s="1" t="s">
        <v>386</v>
      </c>
      <c r="C155" s="17">
        <v>85</v>
      </c>
    </row>
    <row r="156" spans="1:3" x14ac:dyDescent="0.25">
      <c r="A156" s="1"/>
      <c r="B156" s="1" t="s">
        <v>430</v>
      </c>
      <c r="C156" s="18">
        <v>2275</v>
      </c>
    </row>
    <row r="157" spans="1:3" x14ac:dyDescent="0.25">
      <c r="A157" s="1"/>
      <c r="B157" s="1" t="s">
        <v>433</v>
      </c>
      <c r="C157" s="18">
        <v>23990</v>
      </c>
    </row>
    <row r="158" spans="1:3" x14ac:dyDescent="0.25">
      <c r="A158" s="1"/>
      <c r="B158" s="1" t="s">
        <v>434</v>
      </c>
      <c r="C158" s="18">
        <v>18325</v>
      </c>
    </row>
    <row r="159" spans="1:3" x14ac:dyDescent="0.25">
      <c r="A159" s="1"/>
      <c r="B159" s="1" t="s">
        <v>435</v>
      </c>
      <c r="C159" s="18">
        <v>5115</v>
      </c>
    </row>
    <row r="160" spans="1:3" x14ac:dyDescent="0.25">
      <c r="A160" s="1"/>
      <c r="B160" s="10" t="s">
        <v>32</v>
      </c>
      <c r="C160" s="13">
        <f>SUM(C157:C159)</f>
        <v>47430</v>
      </c>
    </row>
    <row r="161" spans="1:6" x14ac:dyDescent="0.25">
      <c r="A161" s="1"/>
      <c r="B161" s="10"/>
      <c r="C161" s="13"/>
    </row>
    <row r="162" spans="1:6" ht="17.25" x14ac:dyDescent="0.25">
      <c r="A162" s="1"/>
      <c r="B162" s="16" t="s">
        <v>31</v>
      </c>
      <c r="C162" s="12" t="s">
        <v>388</v>
      </c>
    </row>
    <row r="163" spans="1:6" x14ac:dyDescent="0.25">
      <c r="A163" s="1"/>
      <c r="B163" s="1"/>
      <c r="C163" s="8"/>
    </row>
    <row r="164" spans="1:6" x14ac:dyDescent="0.25">
      <c r="A164" s="1"/>
      <c r="B164" s="22" t="s">
        <v>233</v>
      </c>
      <c r="C164" s="23"/>
    </row>
    <row r="165" spans="1:6" x14ac:dyDescent="0.25">
      <c r="A165" s="1">
        <v>1</v>
      </c>
      <c r="B165" s="2" t="s">
        <v>23</v>
      </c>
      <c r="C165" s="1"/>
    </row>
    <row r="166" spans="1:6" x14ac:dyDescent="0.25">
      <c r="A166" s="1"/>
      <c r="B166" s="2" t="s">
        <v>4</v>
      </c>
      <c r="C166" s="1"/>
    </row>
    <row r="167" spans="1:6" ht="17.25" x14ac:dyDescent="0.25">
      <c r="A167" s="1"/>
      <c r="B167" s="1" t="s">
        <v>33</v>
      </c>
      <c r="C167" s="1" t="s">
        <v>169</v>
      </c>
    </row>
    <row r="168" spans="1:6" x14ac:dyDescent="0.25">
      <c r="A168" s="1"/>
      <c r="B168" s="1" t="s">
        <v>2</v>
      </c>
      <c r="C168" s="1" t="s">
        <v>13</v>
      </c>
    </row>
    <row r="169" spans="1:6" ht="17.25" x14ac:dyDescent="0.25">
      <c r="A169" s="1"/>
      <c r="B169" s="1" t="s">
        <v>1</v>
      </c>
      <c r="C169" s="1" t="s">
        <v>179</v>
      </c>
    </row>
    <row r="170" spans="1:6" ht="17.25" x14ac:dyDescent="0.25">
      <c r="A170" s="1"/>
      <c r="B170" s="1" t="s">
        <v>3</v>
      </c>
      <c r="C170" s="1" t="s">
        <v>170</v>
      </c>
    </row>
    <row r="171" spans="1:6" x14ac:dyDescent="0.25">
      <c r="A171" s="1"/>
      <c r="B171" s="1"/>
      <c r="C171" s="1"/>
    </row>
    <row r="172" spans="1:6" x14ac:dyDescent="0.25">
      <c r="A172" s="1"/>
      <c r="B172" s="2" t="s">
        <v>26</v>
      </c>
      <c r="C172" s="4" t="s">
        <v>9</v>
      </c>
    </row>
    <row r="173" spans="1:6" x14ac:dyDescent="0.25">
      <c r="A173" s="1"/>
      <c r="B173" s="1" t="s">
        <v>173</v>
      </c>
      <c r="C173" s="3">
        <v>1330</v>
      </c>
    </row>
    <row r="174" spans="1:6" x14ac:dyDescent="0.25">
      <c r="A174" s="1"/>
      <c r="B174" s="1" t="s">
        <v>174</v>
      </c>
      <c r="C174" s="3">
        <v>194</v>
      </c>
    </row>
    <row r="175" spans="1:6" x14ac:dyDescent="0.25">
      <c r="A175" s="1"/>
      <c r="B175" s="1" t="s">
        <v>175</v>
      </c>
      <c r="C175" s="3">
        <v>340</v>
      </c>
    </row>
    <row r="176" spans="1:6" x14ac:dyDescent="0.25">
      <c r="A176" s="1"/>
      <c r="B176" s="1" t="s">
        <v>176</v>
      </c>
      <c r="C176" s="3">
        <v>480</v>
      </c>
      <c r="F176" s="11"/>
    </row>
    <row r="177" spans="1:3" ht="14.25" customHeight="1" x14ac:dyDescent="0.25">
      <c r="A177" s="1"/>
      <c r="B177" s="1" t="s">
        <v>177</v>
      </c>
      <c r="C177" s="3">
        <v>361</v>
      </c>
    </row>
    <row r="178" spans="1:3" x14ac:dyDescent="0.25">
      <c r="A178" s="1"/>
      <c r="B178" s="10" t="s">
        <v>32</v>
      </c>
      <c r="C178" s="10">
        <f>SUM(C173:C177)</f>
        <v>2705</v>
      </c>
    </row>
    <row r="179" spans="1:3" x14ac:dyDescent="0.25">
      <c r="A179" s="1"/>
      <c r="B179" s="1"/>
      <c r="C179" s="1"/>
    </row>
    <row r="180" spans="1:3" x14ac:dyDescent="0.25">
      <c r="A180" s="1">
        <v>2</v>
      </c>
      <c r="B180" s="2" t="s">
        <v>24</v>
      </c>
      <c r="C180" s="1"/>
    </row>
    <row r="181" spans="1:3" ht="17.25" x14ac:dyDescent="0.25">
      <c r="A181" s="1"/>
      <c r="B181" s="1" t="s">
        <v>34</v>
      </c>
      <c r="C181" s="1" t="s">
        <v>171</v>
      </c>
    </row>
    <row r="182" spans="1:3" x14ac:dyDescent="0.25">
      <c r="A182" s="1"/>
      <c r="B182" s="1" t="s">
        <v>2</v>
      </c>
      <c r="C182" t="s">
        <v>18</v>
      </c>
    </row>
    <row r="183" spans="1:3" ht="17.25" x14ac:dyDescent="0.25">
      <c r="A183" s="1"/>
      <c r="B183" s="1" t="s">
        <v>16</v>
      </c>
      <c r="C183" s="1" t="s">
        <v>178</v>
      </c>
    </row>
    <row r="184" spans="1:3" ht="17.25" x14ac:dyDescent="0.25">
      <c r="A184" s="1"/>
      <c r="B184" s="1" t="s">
        <v>37</v>
      </c>
      <c r="C184" s="1" t="s">
        <v>172</v>
      </c>
    </row>
    <row r="185" spans="1:3" x14ac:dyDescent="0.25">
      <c r="A185" s="1"/>
      <c r="B185" s="1"/>
      <c r="C185" s="1"/>
    </row>
    <row r="186" spans="1:3" x14ac:dyDescent="0.25">
      <c r="A186" s="1"/>
      <c r="B186" s="1" t="s">
        <v>35</v>
      </c>
      <c r="C186" s="4" t="s">
        <v>9</v>
      </c>
    </row>
    <row r="187" spans="1:3" x14ac:dyDescent="0.25">
      <c r="A187" s="1"/>
      <c r="B187" s="1" t="s">
        <v>173</v>
      </c>
      <c r="C187" s="3">
        <v>2145</v>
      </c>
    </row>
    <row r="188" spans="1:3" x14ac:dyDescent="0.25">
      <c r="A188" s="1"/>
      <c r="B188" s="1" t="s">
        <v>174</v>
      </c>
      <c r="C188" s="3">
        <v>1165</v>
      </c>
    </row>
    <row r="189" spans="1:3" x14ac:dyDescent="0.25">
      <c r="A189" s="1"/>
      <c r="B189" s="1" t="s">
        <v>175</v>
      </c>
      <c r="C189" s="3">
        <v>4365</v>
      </c>
    </row>
    <row r="190" spans="1:3" x14ac:dyDescent="0.25">
      <c r="A190" s="1"/>
      <c r="B190" s="1" t="s">
        <v>176</v>
      </c>
      <c r="C190" s="3">
        <v>1230</v>
      </c>
    </row>
    <row r="191" spans="1:3" x14ac:dyDescent="0.25">
      <c r="A191" s="1"/>
      <c r="B191" s="1" t="s">
        <v>177</v>
      </c>
      <c r="C191" s="3">
        <v>4520</v>
      </c>
    </row>
    <row r="192" spans="1:3" x14ac:dyDescent="0.25">
      <c r="A192" s="1"/>
      <c r="B192" s="10" t="s">
        <v>32</v>
      </c>
      <c r="C192" s="10">
        <f>SUM(C187:C191)</f>
        <v>13425</v>
      </c>
    </row>
    <row r="193" spans="1:3" x14ac:dyDescent="0.25">
      <c r="A193" s="1"/>
      <c r="B193" s="10"/>
      <c r="C193" s="10"/>
    </row>
    <row r="194" spans="1:3" x14ac:dyDescent="0.25">
      <c r="A194" s="1">
        <v>3</v>
      </c>
      <c r="B194" s="12" t="s">
        <v>36</v>
      </c>
      <c r="C194" s="10"/>
    </row>
    <row r="195" spans="1:3" x14ac:dyDescent="0.25">
      <c r="A195" s="1"/>
      <c r="B195" s="12" t="s">
        <v>38</v>
      </c>
      <c r="C195" s="10"/>
    </row>
    <row r="196" spans="1:3" ht="17.25" x14ac:dyDescent="0.25">
      <c r="A196" s="1"/>
      <c r="B196" s="1" t="s">
        <v>16</v>
      </c>
      <c r="C196" s="1" t="s">
        <v>180</v>
      </c>
    </row>
    <row r="197" spans="1:3" ht="17.25" x14ac:dyDescent="0.25">
      <c r="A197" s="1"/>
      <c r="B197" s="9" t="s">
        <v>17</v>
      </c>
      <c r="C197" s="1" t="s">
        <v>181</v>
      </c>
    </row>
    <row r="198" spans="1:3" x14ac:dyDescent="0.25">
      <c r="A198" s="1"/>
      <c r="B198" s="4"/>
      <c r="C198" s="4"/>
    </row>
    <row r="199" spans="1:3" x14ac:dyDescent="0.25">
      <c r="A199" s="1"/>
      <c r="B199" s="12" t="s">
        <v>146</v>
      </c>
      <c r="C199" s="4" t="s">
        <v>9</v>
      </c>
    </row>
    <row r="200" spans="1:3" x14ac:dyDescent="0.25">
      <c r="A200" s="1"/>
      <c r="B200" s="1" t="s">
        <v>173</v>
      </c>
      <c r="C200" s="3">
        <v>4598</v>
      </c>
    </row>
    <row r="201" spans="1:3" x14ac:dyDescent="0.25">
      <c r="A201" s="1"/>
      <c r="B201" s="1" t="s">
        <v>174</v>
      </c>
      <c r="C201" s="3">
        <v>10408</v>
      </c>
    </row>
    <row r="202" spans="1:3" x14ac:dyDescent="0.25">
      <c r="A202" s="1"/>
      <c r="B202" s="1" t="s">
        <v>175</v>
      </c>
      <c r="C202" s="3">
        <v>8785</v>
      </c>
    </row>
    <row r="203" spans="1:3" x14ac:dyDescent="0.25">
      <c r="A203" s="1"/>
      <c r="B203" s="1" t="s">
        <v>176</v>
      </c>
      <c r="C203" s="3">
        <v>1475</v>
      </c>
    </row>
    <row r="204" spans="1:3" x14ac:dyDescent="0.25">
      <c r="A204" s="1"/>
      <c r="B204" s="1" t="s">
        <v>177</v>
      </c>
      <c r="C204" s="3">
        <v>590</v>
      </c>
    </row>
    <row r="205" spans="1:3" x14ac:dyDescent="0.25">
      <c r="A205" s="1"/>
      <c r="B205" s="10" t="s">
        <v>32</v>
      </c>
      <c r="C205" s="10">
        <f>SUM(C200:C204)</f>
        <v>25856</v>
      </c>
    </row>
    <row r="206" spans="1:3" x14ac:dyDescent="0.25">
      <c r="A206" s="1"/>
      <c r="B206" s="4"/>
      <c r="C206" s="4"/>
    </row>
    <row r="207" spans="1:3" x14ac:dyDescent="0.25">
      <c r="A207" s="1">
        <v>4</v>
      </c>
      <c r="B207" s="12" t="s">
        <v>39</v>
      </c>
      <c r="C207" s="10"/>
    </row>
    <row r="208" spans="1:3" x14ac:dyDescent="0.25">
      <c r="A208" s="1"/>
      <c r="B208" s="12" t="s">
        <v>40</v>
      </c>
      <c r="C208" s="10"/>
    </row>
    <row r="209" spans="1:3" ht="17.25" x14ac:dyDescent="0.25">
      <c r="A209" s="1"/>
      <c r="B209" s="1" t="s">
        <v>16</v>
      </c>
      <c r="C209" s="1" t="s">
        <v>182</v>
      </c>
    </row>
    <row r="210" spans="1:3" ht="17.25" x14ac:dyDescent="0.25">
      <c r="A210" s="1"/>
      <c r="B210" s="9" t="s">
        <v>17</v>
      </c>
      <c r="C210" s="1" t="s">
        <v>181</v>
      </c>
    </row>
    <row r="211" spans="1:3" x14ac:dyDescent="0.25">
      <c r="A211" s="1"/>
      <c r="B211" s="4"/>
      <c r="C211" s="4"/>
    </row>
    <row r="212" spans="1:3" x14ac:dyDescent="0.25">
      <c r="A212" s="1"/>
      <c r="B212" s="12" t="s">
        <v>41</v>
      </c>
      <c r="C212" s="4" t="s">
        <v>9</v>
      </c>
    </row>
    <row r="213" spans="1:3" x14ac:dyDescent="0.25">
      <c r="A213" s="1"/>
      <c r="B213" s="1" t="s">
        <v>173</v>
      </c>
      <c r="C213" s="3">
        <v>1585</v>
      </c>
    </row>
    <row r="214" spans="1:3" x14ac:dyDescent="0.25">
      <c r="A214" s="1"/>
      <c r="B214" s="1" t="s">
        <v>174</v>
      </c>
      <c r="C214" s="3">
        <v>14955</v>
      </c>
    </row>
    <row r="215" spans="1:3" x14ac:dyDescent="0.25">
      <c r="A215" s="1"/>
      <c r="B215" s="1" t="s">
        <v>175</v>
      </c>
      <c r="C215" s="3">
        <v>18780</v>
      </c>
    </row>
    <row r="216" spans="1:3" x14ac:dyDescent="0.25">
      <c r="A216" s="1"/>
      <c r="B216" s="1" t="s">
        <v>176</v>
      </c>
      <c r="C216" s="3">
        <v>12210</v>
      </c>
    </row>
    <row r="217" spans="1:3" x14ac:dyDescent="0.25">
      <c r="A217" s="1"/>
      <c r="B217" s="10" t="s">
        <v>32</v>
      </c>
      <c r="C217" s="10">
        <f>SUM(C213:C216)</f>
        <v>47530</v>
      </c>
    </row>
    <row r="218" spans="1:3" x14ac:dyDescent="0.25">
      <c r="A218" s="1"/>
      <c r="B218" s="10"/>
      <c r="C218" s="10"/>
    </row>
    <row r="219" spans="1:3" x14ac:dyDescent="0.25">
      <c r="A219" s="1">
        <v>5</v>
      </c>
      <c r="B219" s="12" t="s">
        <v>42</v>
      </c>
      <c r="C219" s="10"/>
    </row>
    <row r="220" spans="1:3" x14ac:dyDescent="0.25">
      <c r="A220" s="1"/>
      <c r="B220" s="12" t="s">
        <v>147</v>
      </c>
      <c r="C220" s="10"/>
    </row>
    <row r="221" spans="1:3" ht="17.25" x14ac:dyDescent="0.25">
      <c r="A221" s="1"/>
      <c r="B221" s="1" t="s">
        <v>16</v>
      </c>
      <c r="C221" s="1" t="s">
        <v>183</v>
      </c>
    </row>
    <row r="222" spans="1:3" ht="17.25" x14ac:dyDescent="0.25">
      <c r="A222" s="1"/>
      <c r="B222" s="9" t="s">
        <v>17</v>
      </c>
      <c r="C222" s="1" t="s">
        <v>181</v>
      </c>
    </row>
    <row r="223" spans="1:3" x14ac:dyDescent="0.25">
      <c r="A223" s="1"/>
      <c r="B223" s="4"/>
      <c r="C223" s="4"/>
    </row>
    <row r="224" spans="1:3" x14ac:dyDescent="0.25">
      <c r="A224" s="1"/>
      <c r="B224" s="12" t="s">
        <v>148</v>
      </c>
      <c r="C224" s="4" t="s">
        <v>9</v>
      </c>
    </row>
    <row r="225" spans="1:3" x14ac:dyDescent="0.25">
      <c r="A225" s="1"/>
      <c r="B225" s="1" t="s">
        <v>173</v>
      </c>
      <c r="C225" s="3">
        <v>320</v>
      </c>
    </row>
    <row r="226" spans="1:3" x14ac:dyDescent="0.25">
      <c r="A226" s="1"/>
      <c r="B226" s="1" t="s">
        <v>174</v>
      </c>
      <c r="C226" s="3">
        <v>190</v>
      </c>
    </row>
    <row r="227" spans="1:3" x14ac:dyDescent="0.25">
      <c r="A227" s="1"/>
      <c r="B227" s="1" t="s">
        <v>175</v>
      </c>
      <c r="C227" s="3">
        <v>485</v>
      </c>
    </row>
    <row r="228" spans="1:3" x14ac:dyDescent="0.25">
      <c r="A228" s="1"/>
      <c r="B228" s="10" t="s">
        <v>32</v>
      </c>
      <c r="C228" s="10">
        <f>SUM(C225:C227)</f>
        <v>995</v>
      </c>
    </row>
    <row r="229" spans="1:3" x14ac:dyDescent="0.25">
      <c r="A229" s="1"/>
      <c r="B229" s="1"/>
      <c r="C229" s="1"/>
    </row>
    <row r="230" spans="1:3" ht="17.25" x14ac:dyDescent="0.25">
      <c r="A230" s="1"/>
      <c r="B230" s="2" t="s">
        <v>43</v>
      </c>
      <c r="C230" s="9" t="s">
        <v>184</v>
      </c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9"/>
    </row>
    <row r="233" spans="1:3" x14ac:dyDescent="0.25">
      <c r="A233" s="1">
        <v>6</v>
      </c>
      <c r="B233" s="2" t="s">
        <v>46</v>
      </c>
      <c r="C233" s="4" t="s">
        <v>9</v>
      </c>
    </row>
    <row r="234" spans="1:3" x14ac:dyDescent="0.25">
      <c r="A234" s="1"/>
      <c r="B234" s="1" t="s">
        <v>173</v>
      </c>
      <c r="C234" s="3">
        <v>285</v>
      </c>
    </row>
    <row r="235" spans="1:3" x14ac:dyDescent="0.25">
      <c r="A235" s="1"/>
      <c r="B235" s="1" t="s">
        <v>174</v>
      </c>
      <c r="C235" s="3">
        <v>180</v>
      </c>
    </row>
    <row r="236" spans="1:3" x14ac:dyDescent="0.25">
      <c r="A236" s="1"/>
      <c r="B236" s="1" t="s">
        <v>175</v>
      </c>
      <c r="C236" s="3">
        <v>418</v>
      </c>
    </row>
    <row r="237" spans="1:3" x14ac:dyDescent="0.25">
      <c r="A237" s="1"/>
      <c r="B237" s="10" t="s">
        <v>32</v>
      </c>
      <c r="C237" s="10">
        <f>SUM(C234:C236)</f>
        <v>883</v>
      </c>
    </row>
    <row r="238" spans="1:3" x14ac:dyDescent="0.25">
      <c r="A238" s="1"/>
      <c r="B238" s="1"/>
      <c r="C238" s="3"/>
    </row>
    <row r="239" spans="1:3" x14ac:dyDescent="0.25">
      <c r="A239" s="1">
        <v>7</v>
      </c>
      <c r="B239" s="2" t="s">
        <v>45</v>
      </c>
      <c r="C239" s="4" t="s">
        <v>9</v>
      </c>
    </row>
    <row r="240" spans="1:3" x14ac:dyDescent="0.25">
      <c r="A240" s="1"/>
      <c r="B240" s="1" t="s">
        <v>185</v>
      </c>
      <c r="C240" s="3">
        <v>730</v>
      </c>
    </row>
    <row r="241" spans="1:3" x14ac:dyDescent="0.25">
      <c r="A241" s="1"/>
      <c r="B241" s="1" t="s">
        <v>186</v>
      </c>
      <c r="C241" s="3">
        <v>1795</v>
      </c>
    </row>
    <row r="242" spans="1:3" x14ac:dyDescent="0.25">
      <c r="A242" s="1"/>
      <c r="B242" s="10" t="s">
        <v>32</v>
      </c>
      <c r="C242" s="10">
        <f>SUM(C239:C241)</f>
        <v>2525</v>
      </c>
    </row>
    <row r="243" spans="1:3" x14ac:dyDescent="0.25">
      <c r="A243" s="1"/>
      <c r="B243" s="1"/>
      <c r="C243" s="1"/>
    </row>
    <row r="244" spans="1:3" x14ac:dyDescent="0.25">
      <c r="A244" s="1">
        <v>8</v>
      </c>
      <c r="B244" s="2" t="s">
        <v>58</v>
      </c>
      <c r="C244" s="4" t="s">
        <v>9</v>
      </c>
    </row>
    <row r="245" spans="1:3" x14ac:dyDescent="0.25">
      <c r="A245" s="1"/>
      <c r="B245" s="1" t="s">
        <v>6</v>
      </c>
      <c r="C245" s="3">
        <v>19109</v>
      </c>
    </row>
    <row r="246" spans="1:3" x14ac:dyDescent="0.25">
      <c r="A246" s="1"/>
      <c r="B246" s="1" t="s">
        <v>48</v>
      </c>
      <c r="C246" s="3">
        <v>7420</v>
      </c>
    </row>
    <row r="247" spans="1:3" x14ac:dyDescent="0.25">
      <c r="A247" s="1"/>
      <c r="B247" s="1" t="s">
        <v>49</v>
      </c>
      <c r="C247" s="3">
        <v>7430</v>
      </c>
    </row>
    <row r="248" spans="1:3" x14ac:dyDescent="0.25">
      <c r="A248" s="1"/>
      <c r="B248" s="1" t="s">
        <v>50</v>
      </c>
      <c r="C248" s="3">
        <v>20560</v>
      </c>
    </row>
    <row r="249" spans="1:3" x14ac:dyDescent="0.25">
      <c r="A249" s="1"/>
      <c r="B249" s="1" t="s">
        <v>51</v>
      </c>
      <c r="C249" s="3">
        <v>23930</v>
      </c>
    </row>
    <row r="250" spans="1:3" x14ac:dyDescent="0.25">
      <c r="A250" s="1"/>
      <c r="B250" s="10" t="s">
        <v>32</v>
      </c>
      <c r="C250" s="10">
        <f>SUM(C245:C249)</f>
        <v>78449</v>
      </c>
    </row>
    <row r="251" spans="1:3" x14ac:dyDescent="0.25">
      <c r="A251" s="1"/>
      <c r="B251" s="1"/>
      <c r="C251" s="1"/>
    </row>
    <row r="252" spans="1:3" ht="17.25" x14ac:dyDescent="0.25">
      <c r="A252" s="1"/>
      <c r="B252" s="2" t="s">
        <v>149</v>
      </c>
      <c r="C252" s="12" t="s">
        <v>150</v>
      </c>
    </row>
    <row r="253" spans="1:3" x14ac:dyDescent="0.25">
      <c r="A253" s="1"/>
      <c r="B253" s="1"/>
      <c r="C253" s="1"/>
    </row>
    <row r="254" spans="1:3" x14ac:dyDescent="0.25">
      <c r="A254" s="1">
        <v>9</v>
      </c>
      <c r="B254" s="2" t="s">
        <v>151</v>
      </c>
      <c r="C254" s="4" t="s">
        <v>9</v>
      </c>
    </row>
    <row r="255" spans="1:3" x14ac:dyDescent="0.25">
      <c r="A255" s="1"/>
      <c r="B255" s="1" t="s">
        <v>56</v>
      </c>
      <c r="C255" s="8">
        <v>25970</v>
      </c>
    </row>
    <row r="256" spans="1:3" ht="17.25" x14ac:dyDescent="0.25">
      <c r="A256" s="1"/>
      <c r="B256" s="2" t="s">
        <v>25</v>
      </c>
      <c r="C256" s="12" t="s">
        <v>155</v>
      </c>
    </row>
    <row r="257" spans="1:3" x14ac:dyDescent="0.25">
      <c r="A257" s="1"/>
      <c r="B257" s="1"/>
      <c r="C257" s="1"/>
    </row>
    <row r="258" spans="1:3" x14ac:dyDescent="0.25">
      <c r="A258" s="1">
        <v>10</v>
      </c>
      <c r="B258" s="2" t="s">
        <v>158</v>
      </c>
      <c r="C258" s="4" t="s">
        <v>9</v>
      </c>
    </row>
    <row r="259" spans="1:3" x14ac:dyDescent="0.25">
      <c r="A259" s="1"/>
      <c r="B259" s="1" t="s">
        <v>187</v>
      </c>
      <c r="C259" s="3">
        <v>15040</v>
      </c>
    </row>
    <row r="260" spans="1:3" ht="14.25" customHeight="1" x14ac:dyDescent="0.25">
      <c r="A260" s="1"/>
      <c r="B260" s="1"/>
      <c r="C260" s="3"/>
    </row>
    <row r="261" spans="1:3" x14ac:dyDescent="0.25">
      <c r="A261" s="2">
        <v>11</v>
      </c>
      <c r="B261" s="2" t="s">
        <v>194</v>
      </c>
      <c r="C261" s="4" t="s">
        <v>9</v>
      </c>
    </row>
    <row r="262" spans="1:3" x14ac:dyDescent="0.25">
      <c r="A262" s="1"/>
      <c r="B262" s="1" t="s">
        <v>53</v>
      </c>
      <c r="C262" s="3">
        <v>713</v>
      </c>
    </row>
    <row r="263" spans="1:3" x14ac:dyDescent="0.25">
      <c r="A263" s="1"/>
      <c r="B263" s="1" t="s">
        <v>54</v>
      </c>
      <c r="C263" s="3">
        <v>2371</v>
      </c>
    </row>
    <row r="264" spans="1:3" x14ac:dyDescent="0.25">
      <c r="A264" s="1"/>
      <c r="B264" s="1" t="s">
        <v>8</v>
      </c>
      <c r="C264" s="3">
        <v>1634</v>
      </c>
    </row>
    <row r="265" spans="1:3" x14ac:dyDescent="0.25">
      <c r="A265" s="1"/>
      <c r="B265" s="1" t="s">
        <v>55</v>
      </c>
      <c r="C265" s="3">
        <v>1317</v>
      </c>
    </row>
    <row r="266" spans="1:3" x14ac:dyDescent="0.25">
      <c r="A266" s="1"/>
      <c r="B266" s="1" t="s">
        <v>56</v>
      </c>
      <c r="C266" s="3">
        <v>14262</v>
      </c>
    </row>
    <row r="267" spans="1:3" x14ac:dyDescent="0.25">
      <c r="A267" s="1"/>
      <c r="B267" s="10" t="s">
        <v>32</v>
      </c>
      <c r="C267" s="10">
        <f>SUM(C262:C266)</f>
        <v>20297</v>
      </c>
    </row>
    <row r="268" spans="1:3" x14ac:dyDescent="0.25">
      <c r="A268" s="1"/>
      <c r="B268" s="1"/>
      <c r="C268" s="3"/>
    </row>
    <row r="269" spans="1:3" x14ac:dyDescent="0.25">
      <c r="A269" s="2">
        <v>12</v>
      </c>
      <c r="B269" s="2" t="s">
        <v>153</v>
      </c>
      <c r="C269" s="3"/>
    </row>
    <row r="270" spans="1:3" x14ac:dyDescent="0.25">
      <c r="A270" s="1"/>
      <c r="B270" s="1" t="s">
        <v>65</v>
      </c>
      <c r="C270" s="3"/>
    </row>
    <row r="271" spans="1:3" ht="17.25" x14ac:dyDescent="0.25">
      <c r="A271" s="1"/>
      <c r="B271" s="1" t="s">
        <v>16</v>
      </c>
      <c r="C271" s="1" t="s">
        <v>156</v>
      </c>
    </row>
    <row r="272" spans="1:3" ht="17.25" x14ac:dyDescent="0.25">
      <c r="A272" s="1"/>
      <c r="B272" s="9" t="s">
        <v>17</v>
      </c>
      <c r="C272" s="1" t="s">
        <v>52</v>
      </c>
    </row>
    <row r="273" spans="1:3" x14ac:dyDescent="0.25">
      <c r="A273" s="1"/>
      <c r="B273" s="1"/>
      <c r="C273" s="3"/>
    </row>
    <row r="274" spans="1:3" x14ac:dyDescent="0.25">
      <c r="A274" s="1"/>
      <c r="B274" s="1" t="s">
        <v>154</v>
      </c>
      <c r="C274" s="4" t="s">
        <v>9</v>
      </c>
    </row>
    <row r="275" spans="1:3" x14ac:dyDescent="0.25">
      <c r="A275" s="1"/>
      <c r="B275" s="1" t="s">
        <v>53</v>
      </c>
      <c r="C275" s="3">
        <v>745</v>
      </c>
    </row>
    <row r="276" spans="1:3" x14ac:dyDescent="0.25">
      <c r="A276" s="1"/>
      <c r="B276" s="1"/>
      <c r="C276" s="3"/>
    </row>
    <row r="277" spans="1:3" ht="17.25" x14ac:dyDescent="0.25">
      <c r="A277" s="1"/>
      <c r="B277" s="2" t="s">
        <v>157</v>
      </c>
      <c r="C277" s="12" t="s">
        <v>76</v>
      </c>
    </row>
    <row r="278" spans="1:3" x14ac:dyDescent="0.25">
      <c r="A278" s="1"/>
      <c r="B278" s="1"/>
      <c r="C278" s="3"/>
    </row>
    <row r="279" spans="1:3" x14ac:dyDescent="0.25">
      <c r="A279" s="1">
        <v>13</v>
      </c>
      <c r="B279" s="2" t="s">
        <v>192</v>
      </c>
      <c r="C279" s="4" t="s">
        <v>9</v>
      </c>
    </row>
    <row r="280" spans="1:3" x14ac:dyDescent="0.25">
      <c r="A280" s="1"/>
      <c r="B280" s="1" t="s">
        <v>188</v>
      </c>
      <c r="C280" s="3">
        <v>11628</v>
      </c>
    </row>
    <row r="281" spans="1:3" x14ac:dyDescent="0.25">
      <c r="A281" s="1"/>
      <c r="B281" s="1" t="s">
        <v>189</v>
      </c>
      <c r="C281" s="3">
        <v>22559</v>
      </c>
    </row>
    <row r="282" spans="1:3" x14ac:dyDescent="0.25">
      <c r="A282" s="1"/>
      <c r="B282" s="1" t="s">
        <v>190</v>
      </c>
      <c r="C282" s="3">
        <v>13285</v>
      </c>
    </row>
    <row r="283" spans="1:3" x14ac:dyDescent="0.25">
      <c r="A283" s="1"/>
      <c r="B283" s="1" t="s">
        <v>191</v>
      </c>
      <c r="C283" s="3">
        <v>460</v>
      </c>
    </row>
    <row r="284" spans="1:3" x14ac:dyDescent="0.25">
      <c r="A284" s="1"/>
      <c r="B284" s="10" t="s">
        <v>32</v>
      </c>
      <c r="C284" s="10">
        <f>SUM(C280:C283)</f>
        <v>47932</v>
      </c>
    </row>
    <row r="285" spans="1:3" x14ac:dyDescent="0.25">
      <c r="A285" s="1"/>
      <c r="B285" s="1"/>
      <c r="C285" s="3"/>
    </row>
    <row r="286" spans="1:3" x14ac:dyDescent="0.25">
      <c r="A286" s="1">
        <v>14</v>
      </c>
      <c r="B286" s="2" t="s">
        <v>193</v>
      </c>
      <c r="C286" s="4" t="s">
        <v>9</v>
      </c>
    </row>
    <row r="287" spans="1:3" x14ac:dyDescent="0.25">
      <c r="A287" s="1"/>
      <c r="B287" s="1" t="s">
        <v>8</v>
      </c>
      <c r="C287" s="3">
        <v>130</v>
      </c>
    </row>
    <row r="288" spans="1:3" x14ac:dyDescent="0.25">
      <c r="A288" s="1"/>
      <c r="B288" s="1" t="s">
        <v>55</v>
      </c>
      <c r="C288" s="3">
        <v>135</v>
      </c>
    </row>
    <row r="289" spans="1:3" x14ac:dyDescent="0.25">
      <c r="A289" s="1"/>
      <c r="B289" s="1" t="s">
        <v>56</v>
      </c>
      <c r="C289" s="3">
        <v>395</v>
      </c>
    </row>
    <row r="290" spans="1:3" x14ac:dyDescent="0.25">
      <c r="A290" s="1"/>
      <c r="B290" s="10" t="s">
        <v>32</v>
      </c>
      <c r="C290" s="10">
        <f>SUM(C287:C289)</f>
        <v>660</v>
      </c>
    </row>
    <row r="291" spans="1:3" x14ac:dyDescent="0.25">
      <c r="A291" s="1"/>
      <c r="B291" s="1"/>
      <c r="C291" s="3"/>
    </row>
    <row r="292" spans="1:3" x14ac:dyDescent="0.25">
      <c r="A292" s="1">
        <v>15</v>
      </c>
      <c r="B292" s="2" t="s">
        <v>197</v>
      </c>
      <c r="C292" s="4" t="s">
        <v>9</v>
      </c>
    </row>
    <row r="293" spans="1:3" x14ac:dyDescent="0.25">
      <c r="A293" s="1"/>
      <c r="B293" s="1" t="s">
        <v>63</v>
      </c>
      <c r="C293" s="3">
        <v>898</v>
      </c>
    </row>
    <row r="294" spans="1:3" x14ac:dyDescent="0.25">
      <c r="A294" s="1"/>
      <c r="B294" s="1" t="s">
        <v>27</v>
      </c>
      <c r="C294" s="3">
        <v>21965</v>
      </c>
    </row>
    <row r="295" spans="1:3" x14ac:dyDescent="0.25">
      <c r="A295" s="1"/>
      <c r="B295" s="1" t="s">
        <v>198</v>
      </c>
      <c r="C295" s="3">
        <v>12650</v>
      </c>
    </row>
    <row r="296" spans="1:3" x14ac:dyDescent="0.25">
      <c r="A296" s="1"/>
      <c r="B296" s="1" t="s">
        <v>199</v>
      </c>
      <c r="C296" s="3">
        <v>18118</v>
      </c>
    </row>
    <row r="297" spans="1:3" x14ac:dyDescent="0.25">
      <c r="A297" s="1"/>
      <c r="B297" s="1" t="s">
        <v>200</v>
      </c>
      <c r="C297" s="3">
        <v>620</v>
      </c>
    </row>
    <row r="298" spans="1:3" x14ac:dyDescent="0.25">
      <c r="A298" s="1"/>
      <c r="B298" s="10" t="s">
        <v>32</v>
      </c>
      <c r="C298" s="10">
        <f>SUM(C293:C297)</f>
        <v>54251</v>
      </c>
    </row>
    <row r="299" spans="1:3" x14ac:dyDescent="0.25">
      <c r="A299" s="1"/>
      <c r="B299" s="1"/>
      <c r="C299" s="3"/>
    </row>
    <row r="300" spans="1:3" x14ac:dyDescent="0.25">
      <c r="A300" s="1">
        <v>16</v>
      </c>
      <c r="B300" s="2" t="s">
        <v>201</v>
      </c>
      <c r="C300" s="4" t="s">
        <v>9</v>
      </c>
    </row>
    <row r="301" spans="1:3" x14ac:dyDescent="0.25">
      <c r="A301" s="1"/>
      <c r="B301" s="1" t="s">
        <v>195</v>
      </c>
      <c r="C301" s="3">
        <v>4545</v>
      </c>
    </row>
    <row r="302" spans="1:3" x14ac:dyDescent="0.25">
      <c r="A302" s="1"/>
      <c r="B302" s="1" t="s">
        <v>196</v>
      </c>
      <c r="C302" s="3">
        <v>1960</v>
      </c>
    </row>
    <row r="303" spans="1:3" x14ac:dyDescent="0.25">
      <c r="A303" s="1"/>
      <c r="B303" s="1" t="s">
        <v>202</v>
      </c>
      <c r="C303" s="3">
        <v>1230</v>
      </c>
    </row>
    <row r="304" spans="1:3" x14ac:dyDescent="0.25">
      <c r="A304" s="1"/>
      <c r="B304" s="10" t="s">
        <v>32</v>
      </c>
      <c r="C304" s="10">
        <f>SUM(C301:C303)</f>
        <v>7735</v>
      </c>
    </row>
    <row r="305" spans="1:3" x14ac:dyDescent="0.25">
      <c r="A305" s="1"/>
      <c r="B305" s="1"/>
      <c r="C305" s="1"/>
    </row>
    <row r="306" spans="1:3" ht="17.25" x14ac:dyDescent="0.25">
      <c r="A306" s="1"/>
      <c r="B306" s="2" t="s">
        <v>204</v>
      </c>
      <c r="C306" s="12" t="s">
        <v>205</v>
      </c>
    </row>
    <row r="307" spans="1:3" x14ac:dyDescent="0.25">
      <c r="A307" s="1"/>
      <c r="B307" s="1"/>
      <c r="C307" s="1"/>
    </row>
    <row r="308" spans="1:3" x14ac:dyDescent="0.25">
      <c r="A308" s="1">
        <v>17</v>
      </c>
      <c r="B308" s="2" t="s">
        <v>206</v>
      </c>
      <c r="C308" s="4" t="s">
        <v>9</v>
      </c>
    </row>
    <row r="309" spans="1:3" x14ac:dyDescent="0.25">
      <c r="A309" s="1"/>
      <c r="B309" s="1" t="s">
        <v>53</v>
      </c>
      <c r="C309" s="3">
        <v>1075</v>
      </c>
    </row>
    <row r="310" spans="1:3" x14ac:dyDescent="0.25">
      <c r="A310" s="1"/>
      <c r="B310" s="1" t="s">
        <v>54</v>
      </c>
      <c r="C310" s="3">
        <v>2460</v>
      </c>
    </row>
    <row r="311" spans="1:3" x14ac:dyDescent="0.25">
      <c r="A311" s="1"/>
      <c r="B311" s="1" t="s">
        <v>8</v>
      </c>
      <c r="C311" s="3">
        <v>4285</v>
      </c>
    </row>
    <row r="312" spans="1:3" x14ac:dyDescent="0.25">
      <c r="A312" s="1"/>
      <c r="B312" s="1" t="s">
        <v>55</v>
      </c>
      <c r="C312" s="3">
        <v>2678</v>
      </c>
    </row>
    <row r="313" spans="1:3" x14ac:dyDescent="0.25">
      <c r="A313" s="1"/>
      <c r="B313" s="1" t="s">
        <v>56</v>
      </c>
      <c r="C313" s="3">
        <v>41120</v>
      </c>
    </row>
    <row r="314" spans="1:3" x14ac:dyDescent="0.25">
      <c r="A314" s="1"/>
      <c r="B314" s="10" t="s">
        <v>32</v>
      </c>
      <c r="C314" s="10">
        <f>SUM(C309:C313)</f>
        <v>51618</v>
      </c>
    </row>
    <row r="315" spans="1:3" x14ac:dyDescent="0.25">
      <c r="A315" s="1"/>
      <c r="B315" s="10"/>
      <c r="C315" s="10"/>
    </row>
    <row r="316" spans="1:3" ht="17.25" x14ac:dyDescent="0.25">
      <c r="A316" s="1"/>
      <c r="B316" s="2" t="s">
        <v>207</v>
      </c>
      <c r="C316" s="2" t="s">
        <v>208</v>
      </c>
    </row>
    <row r="317" spans="1:3" x14ac:dyDescent="0.25">
      <c r="A317" s="1"/>
      <c r="B317" s="1"/>
      <c r="C317" s="1"/>
    </row>
    <row r="318" spans="1:3" x14ac:dyDescent="0.25">
      <c r="A318" s="1">
        <v>18</v>
      </c>
      <c r="B318" s="2" t="s">
        <v>203</v>
      </c>
      <c r="C318" s="4" t="s">
        <v>9</v>
      </c>
    </row>
    <row r="319" spans="1:3" x14ac:dyDescent="0.25">
      <c r="A319" s="1"/>
      <c r="B319" s="1" t="s">
        <v>209</v>
      </c>
      <c r="C319" s="3">
        <v>7775</v>
      </c>
    </row>
    <row r="320" spans="1:3" x14ac:dyDescent="0.25">
      <c r="A320" s="1"/>
      <c r="B320" s="1" t="s">
        <v>210</v>
      </c>
      <c r="C320" s="3">
        <v>14009</v>
      </c>
    </row>
    <row r="321" spans="1:3" x14ac:dyDescent="0.25">
      <c r="A321" s="1"/>
      <c r="B321" s="1" t="s">
        <v>211</v>
      </c>
      <c r="C321" s="3">
        <v>2625</v>
      </c>
    </row>
    <row r="322" spans="1:3" x14ac:dyDescent="0.25">
      <c r="A322" s="1"/>
      <c r="B322" s="1" t="s">
        <v>212</v>
      </c>
      <c r="C322" s="3">
        <v>26005</v>
      </c>
    </row>
    <row r="323" spans="1:3" x14ac:dyDescent="0.25">
      <c r="A323" s="1"/>
      <c r="B323" s="1" t="s">
        <v>213</v>
      </c>
      <c r="C323" s="3">
        <v>24770</v>
      </c>
    </row>
    <row r="324" spans="1:3" x14ac:dyDescent="0.25">
      <c r="A324" s="1"/>
      <c r="B324" s="1" t="s">
        <v>214</v>
      </c>
      <c r="C324" s="3">
        <v>42520</v>
      </c>
    </row>
    <row r="325" spans="1:3" x14ac:dyDescent="0.25">
      <c r="A325" s="1"/>
      <c r="B325" s="10" t="s">
        <v>32</v>
      </c>
      <c r="C325" s="10">
        <f>SUM(C319:C324)</f>
        <v>117704</v>
      </c>
    </row>
    <row r="326" spans="1:3" x14ac:dyDescent="0.25">
      <c r="A326" s="1"/>
      <c r="B326" s="2"/>
      <c r="C326" s="2"/>
    </row>
    <row r="327" spans="1:3" x14ac:dyDescent="0.25">
      <c r="A327" s="1">
        <v>19</v>
      </c>
      <c r="B327" s="2" t="s">
        <v>215</v>
      </c>
      <c r="C327" s="4" t="s">
        <v>9</v>
      </c>
    </row>
    <row r="328" spans="1:3" x14ac:dyDescent="0.25">
      <c r="A328" s="1"/>
      <c r="B328" s="1" t="s">
        <v>216</v>
      </c>
      <c r="C328" s="3">
        <v>15205</v>
      </c>
    </row>
    <row r="329" spans="1:3" x14ac:dyDescent="0.25">
      <c r="A329" s="1"/>
      <c r="B329" s="1" t="s">
        <v>217</v>
      </c>
      <c r="C329" s="3">
        <v>4998</v>
      </c>
    </row>
    <row r="330" spans="1:3" x14ac:dyDescent="0.25">
      <c r="A330" s="1"/>
      <c r="B330" s="10" t="s">
        <v>32</v>
      </c>
      <c r="C330" s="10">
        <f>SUM(C328:C329)</f>
        <v>20203</v>
      </c>
    </row>
    <row r="331" spans="1:3" x14ac:dyDescent="0.25">
      <c r="A331" s="1"/>
      <c r="B331" s="1"/>
      <c r="C331" s="4"/>
    </row>
    <row r="332" spans="1:3" x14ac:dyDescent="0.25">
      <c r="A332" s="1">
        <v>20</v>
      </c>
      <c r="B332" s="2" t="s">
        <v>224</v>
      </c>
      <c r="C332" s="4" t="s">
        <v>9</v>
      </c>
    </row>
    <row r="333" spans="1:3" x14ac:dyDescent="0.25">
      <c r="A333" s="1"/>
      <c r="B333" s="1" t="s">
        <v>202</v>
      </c>
      <c r="C333" s="3">
        <v>250</v>
      </c>
    </row>
    <row r="334" spans="1:3" x14ac:dyDescent="0.25">
      <c r="A334" s="1"/>
      <c r="B334" s="1" t="s">
        <v>218</v>
      </c>
      <c r="C334" s="3">
        <v>3220</v>
      </c>
    </row>
    <row r="335" spans="1:3" x14ac:dyDescent="0.25">
      <c r="A335" s="1"/>
      <c r="B335" s="10" t="s">
        <v>32</v>
      </c>
      <c r="C335" s="10">
        <f>SUM(C333:C334)</f>
        <v>3470</v>
      </c>
    </row>
    <row r="336" spans="1:3" x14ac:dyDescent="0.25">
      <c r="A336" s="1"/>
      <c r="B336" s="10"/>
      <c r="C336" s="10"/>
    </row>
    <row r="337" spans="1:3" ht="17.25" x14ac:dyDescent="0.25">
      <c r="A337" s="1"/>
      <c r="B337" s="2" t="s">
        <v>22</v>
      </c>
      <c r="C337" s="12" t="s">
        <v>76</v>
      </c>
    </row>
    <row r="338" spans="1:3" x14ac:dyDescent="0.25">
      <c r="A338" s="1"/>
      <c r="B338" s="1"/>
      <c r="C338" s="4"/>
    </row>
    <row r="339" spans="1:3" x14ac:dyDescent="0.25">
      <c r="A339" s="1">
        <v>21</v>
      </c>
      <c r="B339" s="2" t="s">
        <v>225</v>
      </c>
      <c r="C339" s="4" t="s">
        <v>9</v>
      </c>
    </row>
    <row r="340" spans="1:3" x14ac:dyDescent="0.25">
      <c r="A340" s="1"/>
      <c r="B340" s="1" t="s">
        <v>219</v>
      </c>
      <c r="C340" s="3">
        <v>6340</v>
      </c>
    </row>
    <row r="341" spans="1:3" x14ac:dyDescent="0.25">
      <c r="A341" s="1"/>
      <c r="B341" s="1" t="s">
        <v>220</v>
      </c>
      <c r="C341" s="3">
        <v>55155</v>
      </c>
    </row>
    <row r="342" spans="1:3" x14ac:dyDescent="0.25">
      <c r="A342" s="1"/>
      <c r="B342" s="1" t="s">
        <v>221</v>
      </c>
      <c r="C342" s="3">
        <v>28260</v>
      </c>
    </row>
    <row r="343" spans="1:3" x14ac:dyDescent="0.25">
      <c r="A343" s="1"/>
      <c r="B343" s="1" t="s">
        <v>222</v>
      </c>
      <c r="C343" s="3">
        <v>14460</v>
      </c>
    </row>
    <row r="344" spans="1:3" x14ac:dyDescent="0.25">
      <c r="A344" s="1"/>
      <c r="B344" s="1" t="s">
        <v>223</v>
      </c>
      <c r="C344" s="3">
        <v>6310</v>
      </c>
    </row>
    <row r="345" spans="1:3" x14ac:dyDescent="0.25">
      <c r="A345" s="1"/>
      <c r="B345" s="10" t="s">
        <v>32</v>
      </c>
      <c r="C345" s="10">
        <f>SUM(C340:C344)</f>
        <v>110525</v>
      </c>
    </row>
    <row r="346" spans="1:3" x14ac:dyDescent="0.25">
      <c r="A346" s="1"/>
      <c r="B346" s="2"/>
      <c r="C346" s="4"/>
    </row>
    <row r="347" spans="1:3" ht="17.25" x14ac:dyDescent="0.25">
      <c r="A347" s="1"/>
      <c r="B347" s="2" t="s">
        <v>21</v>
      </c>
      <c r="C347" s="12" t="s">
        <v>80</v>
      </c>
    </row>
    <row r="348" spans="1:3" x14ac:dyDescent="0.25">
      <c r="A348" s="1"/>
      <c r="B348" s="1"/>
      <c r="C348" s="8"/>
    </row>
    <row r="349" spans="1:3" x14ac:dyDescent="0.25">
      <c r="A349" s="1">
        <v>22</v>
      </c>
      <c r="B349" s="2" t="s">
        <v>141</v>
      </c>
      <c r="C349" s="4" t="s">
        <v>9</v>
      </c>
    </row>
    <row r="350" spans="1:3" x14ac:dyDescent="0.25">
      <c r="A350" s="1"/>
      <c r="B350" s="1" t="s">
        <v>226</v>
      </c>
      <c r="C350" s="3">
        <v>2835</v>
      </c>
    </row>
    <row r="351" spans="1:3" x14ac:dyDescent="0.25">
      <c r="A351" s="1"/>
      <c r="B351" s="1"/>
      <c r="C351" s="8"/>
    </row>
    <row r="352" spans="1:3" x14ac:dyDescent="0.25">
      <c r="A352" s="1">
        <v>23</v>
      </c>
      <c r="B352" s="2" t="s">
        <v>227</v>
      </c>
      <c r="C352" s="4" t="s">
        <v>9</v>
      </c>
    </row>
    <row r="353" spans="1:3" x14ac:dyDescent="0.25">
      <c r="A353" s="1"/>
      <c r="B353" s="1" t="s">
        <v>230</v>
      </c>
      <c r="C353" s="3">
        <v>230</v>
      </c>
    </row>
    <row r="354" spans="1:3" x14ac:dyDescent="0.25">
      <c r="A354" s="1"/>
      <c r="B354" s="1" t="s">
        <v>216</v>
      </c>
      <c r="C354" s="3">
        <v>1955</v>
      </c>
    </row>
    <row r="355" spans="1:3" x14ac:dyDescent="0.25">
      <c r="A355" s="1"/>
      <c r="B355" s="1" t="s">
        <v>217</v>
      </c>
      <c r="C355" s="3">
        <v>3415</v>
      </c>
    </row>
    <row r="356" spans="1:3" x14ac:dyDescent="0.25">
      <c r="A356" s="1"/>
      <c r="B356" s="10" t="s">
        <v>32</v>
      </c>
      <c r="C356" s="10">
        <f>SUM(C353:C355)</f>
        <v>5600</v>
      </c>
    </row>
    <row r="357" spans="1:3" x14ac:dyDescent="0.25">
      <c r="A357" s="1"/>
      <c r="B357" s="2"/>
      <c r="C357" s="4"/>
    </row>
    <row r="358" spans="1:3" ht="17.25" x14ac:dyDescent="0.25">
      <c r="A358" s="1"/>
      <c r="B358" s="2" t="s">
        <v>20</v>
      </c>
      <c r="C358" s="12" t="s">
        <v>73</v>
      </c>
    </row>
    <row r="359" spans="1:3" x14ac:dyDescent="0.25">
      <c r="A359" s="1"/>
      <c r="B359" s="1"/>
      <c r="C359" s="1"/>
    </row>
    <row r="360" spans="1:3" x14ac:dyDescent="0.25">
      <c r="A360" s="1">
        <v>24</v>
      </c>
      <c r="B360" s="2" t="s">
        <v>232</v>
      </c>
      <c r="C360" s="4" t="s">
        <v>9</v>
      </c>
    </row>
    <row r="361" spans="1:3" x14ac:dyDescent="0.25">
      <c r="A361" s="1"/>
      <c r="B361" s="1" t="s">
        <v>235</v>
      </c>
      <c r="C361" s="3">
        <v>620</v>
      </c>
    </row>
    <row r="362" spans="1:3" x14ac:dyDescent="0.25">
      <c r="A362" s="1"/>
      <c r="B362" s="1" t="s">
        <v>228</v>
      </c>
      <c r="C362" s="3">
        <v>455</v>
      </c>
    </row>
    <row r="363" spans="1:3" x14ac:dyDescent="0.25">
      <c r="A363" s="1"/>
      <c r="B363" s="1" t="s">
        <v>229</v>
      </c>
      <c r="C363" s="3">
        <v>475</v>
      </c>
    </row>
    <row r="364" spans="1:3" x14ac:dyDescent="0.25">
      <c r="A364" s="1"/>
      <c r="B364" s="1" t="s">
        <v>230</v>
      </c>
      <c r="C364" s="3">
        <v>520</v>
      </c>
    </row>
    <row r="365" spans="1:3" x14ac:dyDescent="0.25">
      <c r="A365" s="1"/>
      <c r="B365" s="1" t="s">
        <v>216</v>
      </c>
      <c r="C365" s="3">
        <v>32685</v>
      </c>
    </row>
    <row r="366" spans="1:3" x14ac:dyDescent="0.25">
      <c r="A366" s="1"/>
      <c r="B366" s="1" t="s">
        <v>217</v>
      </c>
      <c r="C366" s="3">
        <v>34375</v>
      </c>
    </row>
    <row r="367" spans="1:3" x14ac:dyDescent="0.25">
      <c r="A367" s="1"/>
      <c r="B367" s="10" t="s">
        <v>32</v>
      </c>
      <c r="C367" s="10">
        <f>SUM(C361:C366)</f>
        <v>69130</v>
      </c>
    </row>
    <row r="368" spans="1:3" x14ac:dyDescent="0.25">
      <c r="A368" s="1"/>
      <c r="B368" s="2"/>
      <c r="C368" s="4"/>
    </row>
    <row r="369" spans="1:3" ht="17.25" x14ac:dyDescent="0.25">
      <c r="A369" s="1"/>
      <c r="B369" s="2" t="s">
        <v>231</v>
      </c>
      <c r="C369" s="2" t="s">
        <v>234</v>
      </c>
    </row>
  </sheetData>
  <mergeCells count="4">
    <mergeCell ref="A1:C1"/>
    <mergeCell ref="B2:C2"/>
    <mergeCell ref="B164:C164"/>
    <mergeCell ref="B3:C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B819-F02B-46F2-97F4-EB296EBD39B8}">
  <sheetPr codeName="Sheet3"/>
  <dimension ref="A1:F330"/>
  <sheetViews>
    <sheetView topLeftCell="A276" workbookViewId="0">
      <selection activeCell="C286" sqref="C286"/>
    </sheetView>
  </sheetViews>
  <sheetFormatPr defaultRowHeight="15" x14ac:dyDescent="0.25"/>
  <cols>
    <col min="2" max="2" width="72.140625" customWidth="1"/>
    <col min="3" max="3" width="67.42578125" customWidth="1"/>
  </cols>
  <sheetData>
    <row r="1" spans="1:6" x14ac:dyDescent="0.25">
      <c r="A1" s="20" t="s">
        <v>12</v>
      </c>
      <c r="B1" s="20"/>
      <c r="C1" s="20"/>
    </row>
    <row r="2" spans="1:6" x14ac:dyDescent="0.25">
      <c r="A2" s="5" t="s">
        <v>0</v>
      </c>
      <c r="B2" s="21" t="s">
        <v>310</v>
      </c>
      <c r="C2" s="21"/>
    </row>
    <row r="3" spans="1:6" x14ac:dyDescent="0.25">
      <c r="A3" s="1"/>
      <c r="B3" s="22" t="s">
        <v>236</v>
      </c>
      <c r="C3" s="23"/>
    </row>
    <row r="4" spans="1:6" x14ac:dyDescent="0.25">
      <c r="A4" s="1">
        <v>1</v>
      </c>
      <c r="B4" s="2" t="s">
        <v>23</v>
      </c>
      <c r="C4" s="1"/>
    </row>
    <row r="5" spans="1:6" x14ac:dyDescent="0.25">
      <c r="A5" s="1"/>
      <c r="B5" s="2" t="s">
        <v>4</v>
      </c>
      <c r="C5" s="1"/>
    </row>
    <row r="6" spans="1:6" ht="17.25" x14ac:dyDescent="0.25">
      <c r="A6" s="1"/>
      <c r="B6" s="1" t="s">
        <v>33</v>
      </c>
      <c r="C6" s="1" t="s">
        <v>237</v>
      </c>
    </row>
    <row r="7" spans="1:6" x14ac:dyDescent="0.25">
      <c r="A7" s="1"/>
      <c r="B7" s="1" t="s">
        <v>2</v>
      </c>
      <c r="C7" s="1" t="s">
        <v>13</v>
      </c>
    </row>
    <row r="8" spans="1:6" ht="17.25" x14ac:dyDescent="0.25">
      <c r="A8" s="1"/>
      <c r="B8" s="1" t="s">
        <v>1</v>
      </c>
      <c r="C8" s="1" t="s">
        <v>238</v>
      </c>
    </row>
    <row r="9" spans="1:6" ht="17.25" x14ac:dyDescent="0.25">
      <c r="A9" s="1"/>
      <c r="B9" s="1" t="s">
        <v>3</v>
      </c>
      <c r="C9" s="1" t="s">
        <v>313</v>
      </c>
    </row>
    <row r="10" spans="1:6" x14ac:dyDescent="0.25">
      <c r="A10" s="1"/>
      <c r="B10" s="1"/>
      <c r="C10" s="1"/>
    </row>
    <row r="11" spans="1:6" x14ac:dyDescent="0.25">
      <c r="A11" s="1"/>
      <c r="B11" s="2" t="s">
        <v>26</v>
      </c>
      <c r="C11" s="4" t="s">
        <v>9</v>
      </c>
    </row>
    <row r="12" spans="1:6" x14ac:dyDescent="0.25">
      <c r="A12" s="1"/>
      <c r="B12" s="1" t="s">
        <v>243</v>
      </c>
      <c r="C12" s="3">
        <v>1520</v>
      </c>
    </row>
    <row r="13" spans="1:6" x14ac:dyDescent="0.25">
      <c r="A13" s="1"/>
      <c r="B13" s="1" t="s">
        <v>244</v>
      </c>
      <c r="C13" s="3">
        <v>198</v>
      </c>
    </row>
    <row r="14" spans="1:6" x14ac:dyDescent="0.25">
      <c r="A14" s="1"/>
      <c r="B14" s="1" t="s">
        <v>245</v>
      </c>
      <c r="C14" s="3">
        <v>340</v>
      </c>
    </row>
    <row r="15" spans="1:6" x14ac:dyDescent="0.25">
      <c r="A15" s="1"/>
      <c r="B15" s="1" t="s">
        <v>246</v>
      </c>
      <c r="C15" s="3">
        <v>480</v>
      </c>
      <c r="F15" s="11"/>
    </row>
    <row r="16" spans="1:6" ht="14.25" customHeight="1" x14ac:dyDescent="0.25">
      <c r="A16" s="1"/>
      <c r="B16" s="1" t="s">
        <v>247</v>
      </c>
      <c r="C16" s="3">
        <v>320</v>
      </c>
    </row>
    <row r="17" spans="1:3" x14ac:dyDescent="0.25">
      <c r="A17" s="1"/>
      <c r="B17" s="10" t="s">
        <v>32</v>
      </c>
      <c r="C17" s="10">
        <f>SUM(C12:C16)</f>
        <v>2858</v>
      </c>
    </row>
    <row r="18" spans="1:3" x14ac:dyDescent="0.25">
      <c r="A18" s="1"/>
      <c r="B18" s="1"/>
      <c r="C18" s="1"/>
    </row>
    <row r="19" spans="1:3" x14ac:dyDescent="0.25">
      <c r="A19" s="1">
        <v>2</v>
      </c>
      <c r="B19" s="2" t="s">
        <v>24</v>
      </c>
      <c r="C19" s="1"/>
    </row>
    <row r="20" spans="1:3" ht="17.25" x14ac:dyDescent="0.25">
      <c r="A20" s="1"/>
      <c r="B20" s="1" t="s">
        <v>34</v>
      </c>
      <c r="C20" s="1" t="s">
        <v>239</v>
      </c>
    </row>
    <row r="21" spans="1:3" x14ac:dyDescent="0.25">
      <c r="A21" s="1"/>
      <c r="B21" s="1" t="s">
        <v>2</v>
      </c>
      <c r="C21" s="1" t="s">
        <v>18</v>
      </c>
    </row>
    <row r="22" spans="1:3" ht="17.25" x14ac:dyDescent="0.25">
      <c r="A22" s="1"/>
      <c r="B22" s="1" t="s">
        <v>16</v>
      </c>
      <c r="C22" s="1" t="s">
        <v>240</v>
      </c>
    </row>
    <row r="23" spans="1:3" ht="17.25" x14ac:dyDescent="0.25">
      <c r="A23" s="1"/>
      <c r="B23" s="1" t="s">
        <v>37</v>
      </c>
      <c r="C23" s="1" t="s">
        <v>241</v>
      </c>
    </row>
    <row r="24" spans="1:3" x14ac:dyDescent="0.25">
      <c r="A24" s="1"/>
      <c r="B24" s="1"/>
      <c r="C24" s="1"/>
    </row>
    <row r="25" spans="1:3" x14ac:dyDescent="0.25">
      <c r="A25" s="1"/>
      <c r="B25" s="1" t="s">
        <v>35</v>
      </c>
      <c r="C25" s="4" t="s">
        <v>9</v>
      </c>
    </row>
    <row r="26" spans="1:3" x14ac:dyDescent="0.25">
      <c r="A26" s="1"/>
      <c r="B26" s="1" t="s">
        <v>248</v>
      </c>
      <c r="C26" s="3">
        <v>2098</v>
      </c>
    </row>
    <row r="27" spans="1:3" x14ac:dyDescent="0.25">
      <c r="A27" s="1"/>
      <c r="B27" s="1" t="s">
        <v>249</v>
      </c>
      <c r="C27" s="3">
        <v>1160</v>
      </c>
    </row>
    <row r="28" spans="1:3" x14ac:dyDescent="0.25">
      <c r="A28" s="1"/>
      <c r="B28" s="1" t="s">
        <v>250</v>
      </c>
      <c r="C28" s="3">
        <v>4320</v>
      </c>
    </row>
    <row r="29" spans="1:3" x14ac:dyDescent="0.25">
      <c r="A29" s="1"/>
      <c r="B29" s="1" t="s">
        <v>251</v>
      </c>
      <c r="C29" s="3">
        <v>1285</v>
      </c>
    </row>
    <row r="30" spans="1:3" x14ac:dyDescent="0.25">
      <c r="A30" s="1"/>
      <c r="B30" s="1" t="s">
        <v>252</v>
      </c>
      <c r="C30" s="3">
        <v>4578</v>
      </c>
    </row>
    <row r="31" spans="1:3" x14ac:dyDescent="0.25">
      <c r="A31" s="1"/>
      <c r="B31" s="10" t="s">
        <v>32</v>
      </c>
      <c r="C31" s="10">
        <f>SUM(C26:C30)</f>
        <v>13441</v>
      </c>
    </row>
    <row r="32" spans="1:3" x14ac:dyDescent="0.25">
      <c r="A32" s="1"/>
      <c r="B32" s="10"/>
      <c r="C32" s="10"/>
    </row>
    <row r="33" spans="1:3" x14ac:dyDescent="0.25">
      <c r="A33" s="1">
        <v>3</v>
      </c>
      <c r="B33" s="12" t="s">
        <v>36</v>
      </c>
      <c r="C33" s="10"/>
    </row>
    <row r="34" spans="1:3" x14ac:dyDescent="0.25">
      <c r="A34" s="1"/>
      <c r="B34" s="12" t="s">
        <v>38</v>
      </c>
      <c r="C34" s="10"/>
    </row>
    <row r="35" spans="1:3" ht="17.25" x14ac:dyDescent="0.25">
      <c r="A35" s="1"/>
      <c r="B35" s="1" t="s">
        <v>16</v>
      </c>
      <c r="C35" s="1" t="s">
        <v>253</v>
      </c>
    </row>
    <row r="36" spans="1:3" ht="17.25" x14ac:dyDescent="0.25">
      <c r="A36" s="1"/>
      <c r="B36" s="9" t="s">
        <v>17</v>
      </c>
      <c r="C36" s="1" t="s">
        <v>242</v>
      </c>
    </row>
    <row r="37" spans="1:3" x14ac:dyDescent="0.25">
      <c r="A37" s="1"/>
      <c r="B37" s="4"/>
      <c r="C37" s="4"/>
    </row>
    <row r="38" spans="1:3" x14ac:dyDescent="0.25">
      <c r="A38" s="1"/>
      <c r="B38" s="12" t="s">
        <v>146</v>
      </c>
      <c r="C38" s="4" t="s">
        <v>9</v>
      </c>
    </row>
    <row r="39" spans="1:3" x14ac:dyDescent="0.25">
      <c r="A39" s="1"/>
      <c r="B39" s="1" t="s">
        <v>248</v>
      </c>
      <c r="C39" s="3">
        <v>4505</v>
      </c>
    </row>
    <row r="40" spans="1:3" x14ac:dyDescent="0.25">
      <c r="A40" s="1"/>
      <c r="B40" s="1" t="s">
        <v>249</v>
      </c>
      <c r="C40" s="3">
        <v>10305</v>
      </c>
    </row>
    <row r="41" spans="1:3" x14ac:dyDescent="0.25">
      <c r="A41" s="1"/>
      <c r="B41" s="1" t="s">
        <v>250</v>
      </c>
      <c r="C41" s="3">
        <v>8940</v>
      </c>
    </row>
    <row r="42" spans="1:3" x14ac:dyDescent="0.25">
      <c r="A42" s="1"/>
      <c r="B42" s="1" t="s">
        <v>251</v>
      </c>
      <c r="C42" s="3">
        <v>1475</v>
      </c>
    </row>
    <row r="43" spans="1:3" x14ac:dyDescent="0.25">
      <c r="A43" s="1"/>
      <c r="B43" s="1" t="s">
        <v>252</v>
      </c>
      <c r="C43" s="3">
        <v>635</v>
      </c>
    </row>
    <row r="44" spans="1:3" x14ac:dyDescent="0.25">
      <c r="A44" s="1"/>
      <c r="B44" s="10" t="s">
        <v>32</v>
      </c>
      <c r="C44" s="10">
        <f>SUM(C39:C43)</f>
        <v>25860</v>
      </c>
    </row>
    <row r="45" spans="1:3" x14ac:dyDescent="0.25">
      <c r="A45" s="1"/>
      <c r="B45" s="4"/>
      <c r="C45" s="4"/>
    </row>
    <row r="46" spans="1:3" x14ac:dyDescent="0.25">
      <c r="A46" s="1">
        <v>4</v>
      </c>
      <c r="B46" s="12" t="s">
        <v>39</v>
      </c>
      <c r="C46" s="10"/>
    </row>
    <row r="47" spans="1:3" x14ac:dyDescent="0.25">
      <c r="A47" s="1"/>
      <c r="B47" s="12" t="s">
        <v>40</v>
      </c>
      <c r="C47" s="10"/>
    </row>
    <row r="48" spans="1:3" ht="17.25" x14ac:dyDescent="0.25">
      <c r="A48" s="1"/>
      <c r="B48" s="1" t="s">
        <v>16</v>
      </c>
      <c r="C48" s="1" t="s">
        <v>254</v>
      </c>
    </row>
    <row r="49" spans="1:3" ht="17.25" x14ac:dyDescent="0.25">
      <c r="A49" s="1"/>
      <c r="B49" s="9" t="s">
        <v>17</v>
      </c>
      <c r="C49" s="1" t="s">
        <v>242</v>
      </c>
    </row>
    <row r="50" spans="1:3" x14ac:dyDescent="0.25">
      <c r="A50" s="1"/>
      <c r="B50" s="4"/>
      <c r="C50" s="4"/>
    </row>
    <row r="51" spans="1:3" x14ac:dyDescent="0.25">
      <c r="A51" s="1"/>
      <c r="B51" s="12" t="s">
        <v>41</v>
      </c>
      <c r="C51" s="4" t="s">
        <v>9</v>
      </c>
    </row>
    <row r="52" spans="1:3" x14ac:dyDescent="0.25">
      <c r="A52" s="1"/>
      <c r="B52" s="1" t="s">
        <v>248</v>
      </c>
      <c r="C52" s="3">
        <v>1575</v>
      </c>
    </row>
    <row r="53" spans="1:3" x14ac:dyDescent="0.25">
      <c r="A53" s="1"/>
      <c r="B53" s="1" t="s">
        <v>249</v>
      </c>
      <c r="C53" s="3">
        <v>15225</v>
      </c>
    </row>
    <row r="54" spans="1:3" x14ac:dyDescent="0.25">
      <c r="A54" s="1"/>
      <c r="B54" s="1" t="s">
        <v>250</v>
      </c>
      <c r="C54" s="3">
        <v>18920</v>
      </c>
    </row>
    <row r="55" spans="1:3" x14ac:dyDescent="0.25">
      <c r="A55" s="1"/>
      <c r="B55" s="1" t="s">
        <v>251</v>
      </c>
      <c r="C55" s="3">
        <v>11770</v>
      </c>
    </row>
    <row r="56" spans="1:3" x14ac:dyDescent="0.25">
      <c r="A56" s="1"/>
      <c r="B56" s="10" t="s">
        <v>32</v>
      </c>
      <c r="C56" s="10">
        <f>SUM(C52:C55)</f>
        <v>47490</v>
      </c>
    </row>
    <row r="57" spans="1:3" x14ac:dyDescent="0.25">
      <c r="A57" s="1"/>
      <c r="B57" s="10"/>
      <c r="C57" s="10"/>
    </row>
    <row r="58" spans="1:3" x14ac:dyDescent="0.25">
      <c r="A58" s="1">
        <v>5</v>
      </c>
      <c r="B58" s="12" t="s">
        <v>42</v>
      </c>
      <c r="C58" s="10"/>
    </row>
    <row r="59" spans="1:3" x14ac:dyDescent="0.25">
      <c r="A59" s="1"/>
      <c r="B59" s="12" t="s">
        <v>147</v>
      </c>
      <c r="C59" s="10"/>
    </row>
    <row r="60" spans="1:3" ht="17.25" x14ac:dyDescent="0.25">
      <c r="A60" s="1"/>
      <c r="B60" s="1" t="s">
        <v>16</v>
      </c>
      <c r="C60" s="1" t="s">
        <v>255</v>
      </c>
    </row>
    <row r="61" spans="1:3" ht="17.25" x14ac:dyDescent="0.25">
      <c r="A61" s="1"/>
      <c r="B61" s="9" t="s">
        <v>17</v>
      </c>
      <c r="C61" s="1" t="s">
        <v>242</v>
      </c>
    </row>
    <row r="62" spans="1:3" x14ac:dyDescent="0.25">
      <c r="A62" s="1"/>
      <c r="B62" s="4"/>
      <c r="C62" s="4"/>
    </row>
    <row r="63" spans="1:3" x14ac:dyDescent="0.25">
      <c r="A63" s="1"/>
      <c r="B63" s="12" t="s">
        <v>148</v>
      </c>
      <c r="C63" s="4" t="s">
        <v>9</v>
      </c>
    </row>
    <row r="64" spans="1:3" x14ac:dyDescent="0.25">
      <c r="A64" s="1"/>
      <c r="B64" s="1" t="s">
        <v>248</v>
      </c>
      <c r="C64" s="3">
        <v>280</v>
      </c>
    </row>
    <row r="65" spans="1:3" x14ac:dyDescent="0.25">
      <c r="A65" s="1"/>
      <c r="B65" s="1" t="s">
        <v>249</v>
      </c>
      <c r="C65" s="3">
        <v>180</v>
      </c>
    </row>
    <row r="66" spans="1:3" x14ac:dyDescent="0.25">
      <c r="A66" s="1"/>
      <c r="B66" s="1" t="s">
        <v>250</v>
      </c>
      <c r="C66" s="3">
        <v>540</v>
      </c>
    </row>
    <row r="67" spans="1:3" x14ac:dyDescent="0.25">
      <c r="A67" s="1"/>
      <c r="B67" s="10" t="s">
        <v>32</v>
      </c>
      <c r="C67" s="10">
        <f>SUM(C64:C66)</f>
        <v>1000</v>
      </c>
    </row>
    <row r="68" spans="1:3" x14ac:dyDescent="0.25">
      <c r="A68" s="1"/>
      <c r="B68" s="1"/>
      <c r="C68" s="1"/>
    </row>
    <row r="69" spans="1:3" ht="17.25" x14ac:dyDescent="0.25">
      <c r="A69" s="1"/>
      <c r="B69" s="2" t="s">
        <v>43</v>
      </c>
      <c r="C69" s="9" t="s">
        <v>256</v>
      </c>
    </row>
    <row r="70" spans="1:3" x14ac:dyDescent="0.25">
      <c r="A70" s="1"/>
      <c r="B70" s="1"/>
      <c r="C70" s="1"/>
    </row>
    <row r="71" spans="1:3" x14ac:dyDescent="0.25">
      <c r="A71" s="1"/>
      <c r="B71" s="1"/>
      <c r="C71" s="9"/>
    </row>
    <row r="72" spans="1:3" x14ac:dyDescent="0.25">
      <c r="A72" s="1">
        <v>6</v>
      </c>
      <c r="B72" s="2" t="s">
        <v>46</v>
      </c>
      <c r="C72" s="4" t="s">
        <v>9</v>
      </c>
    </row>
    <row r="73" spans="1:3" x14ac:dyDescent="0.25">
      <c r="A73" s="1"/>
      <c r="B73" s="1" t="s">
        <v>248</v>
      </c>
      <c r="C73" s="3">
        <v>185</v>
      </c>
    </row>
    <row r="74" spans="1:3" x14ac:dyDescent="0.25">
      <c r="A74" s="1"/>
      <c r="B74" s="1" t="s">
        <v>249</v>
      </c>
      <c r="C74" s="3">
        <v>260</v>
      </c>
    </row>
    <row r="75" spans="1:3" x14ac:dyDescent="0.25">
      <c r="A75" s="1"/>
      <c r="B75" s="1" t="s">
        <v>250</v>
      </c>
      <c r="C75" s="3">
        <v>438</v>
      </c>
    </row>
    <row r="76" spans="1:3" x14ac:dyDescent="0.25">
      <c r="A76" s="1"/>
      <c r="B76" s="10" t="s">
        <v>32</v>
      </c>
      <c r="C76" s="10">
        <f>SUM(C73:C75)</f>
        <v>883</v>
      </c>
    </row>
    <row r="77" spans="1:3" x14ac:dyDescent="0.25">
      <c r="A77" s="1"/>
      <c r="B77" s="1"/>
      <c r="C77" s="3"/>
    </row>
    <row r="78" spans="1:3" x14ac:dyDescent="0.25">
      <c r="A78" s="1">
        <v>7</v>
      </c>
      <c r="B78" s="2" t="s">
        <v>45</v>
      </c>
      <c r="C78" s="4" t="s">
        <v>9</v>
      </c>
    </row>
    <row r="79" spans="1:3" x14ac:dyDescent="0.25">
      <c r="A79" s="1"/>
      <c r="B79" s="1" t="s">
        <v>257</v>
      </c>
      <c r="C79" s="3">
        <v>530</v>
      </c>
    </row>
    <row r="80" spans="1:3" x14ac:dyDescent="0.25">
      <c r="A80" s="1"/>
      <c r="B80" s="1" t="s">
        <v>258</v>
      </c>
      <c r="C80" s="3">
        <v>1995</v>
      </c>
    </row>
    <row r="81" spans="1:3" x14ac:dyDescent="0.25">
      <c r="A81" s="1"/>
      <c r="B81" s="10" t="s">
        <v>32</v>
      </c>
      <c r="C81" s="10">
        <f>SUM(C78:C80)</f>
        <v>2525</v>
      </c>
    </row>
    <row r="82" spans="1:3" x14ac:dyDescent="0.25">
      <c r="A82" s="1"/>
      <c r="B82" s="1"/>
      <c r="C82" s="1"/>
    </row>
    <row r="83" spans="1:3" x14ac:dyDescent="0.25">
      <c r="A83" s="1">
        <v>8</v>
      </c>
      <c r="B83" s="2" t="s">
        <v>58</v>
      </c>
      <c r="C83" s="4" t="s">
        <v>9</v>
      </c>
    </row>
    <row r="84" spans="1:3" x14ac:dyDescent="0.25">
      <c r="A84" s="1"/>
      <c r="B84" s="1" t="s">
        <v>6</v>
      </c>
      <c r="C84" s="3">
        <v>18109</v>
      </c>
    </row>
    <row r="85" spans="1:3" x14ac:dyDescent="0.25">
      <c r="A85" s="1"/>
      <c r="B85" s="1" t="s">
        <v>48</v>
      </c>
      <c r="C85" s="3">
        <v>7920</v>
      </c>
    </row>
    <row r="86" spans="1:3" x14ac:dyDescent="0.25">
      <c r="A86" s="1"/>
      <c r="B86" s="1" t="s">
        <v>49</v>
      </c>
      <c r="C86" s="3">
        <v>7930</v>
      </c>
    </row>
    <row r="87" spans="1:3" x14ac:dyDescent="0.25">
      <c r="A87" s="1"/>
      <c r="B87" s="1" t="s">
        <v>50</v>
      </c>
      <c r="C87" s="3">
        <v>20060</v>
      </c>
    </row>
    <row r="88" spans="1:3" x14ac:dyDescent="0.25">
      <c r="A88" s="1"/>
      <c r="B88" s="1" t="s">
        <v>51</v>
      </c>
      <c r="C88" s="3">
        <v>24430</v>
      </c>
    </row>
    <row r="89" spans="1:3" x14ac:dyDescent="0.25">
      <c r="A89" s="1"/>
      <c r="B89" s="10" t="s">
        <v>32</v>
      </c>
      <c r="C89" s="10">
        <f>SUM(C84:C88)</f>
        <v>78449</v>
      </c>
    </row>
    <row r="90" spans="1:3" x14ac:dyDescent="0.25">
      <c r="A90" s="1"/>
      <c r="B90" s="1"/>
      <c r="C90" s="1"/>
    </row>
    <row r="91" spans="1:3" ht="17.25" x14ac:dyDescent="0.25">
      <c r="A91" s="1"/>
      <c r="B91" s="2" t="s">
        <v>149</v>
      </c>
      <c r="C91" s="12" t="s">
        <v>150</v>
      </c>
    </row>
    <row r="92" spans="1:3" x14ac:dyDescent="0.25">
      <c r="A92" s="1"/>
      <c r="B92" s="1"/>
      <c r="C92" s="1"/>
    </row>
    <row r="93" spans="1:3" x14ac:dyDescent="0.25">
      <c r="A93" s="1">
        <v>9</v>
      </c>
      <c r="B93" s="2" t="s">
        <v>151</v>
      </c>
      <c r="C93" s="4" t="s">
        <v>9</v>
      </c>
    </row>
    <row r="94" spans="1:3" x14ac:dyDescent="0.25">
      <c r="A94" s="1"/>
      <c r="B94" s="1" t="s">
        <v>56</v>
      </c>
      <c r="C94" s="8">
        <v>25970</v>
      </c>
    </row>
    <row r="95" spans="1:3" ht="17.25" x14ac:dyDescent="0.25">
      <c r="A95" s="1"/>
      <c r="B95" s="2" t="s">
        <v>25</v>
      </c>
      <c r="C95" s="12" t="s">
        <v>155</v>
      </c>
    </row>
    <row r="96" spans="1:3" x14ac:dyDescent="0.25">
      <c r="A96" s="1"/>
      <c r="B96" s="1"/>
      <c r="C96" s="1"/>
    </row>
    <row r="97" spans="1:3" x14ac:dyDescent="0.25">
      <c r="A97" s="1">
        <v>10</v>
      </c>
      <c r="B97" s="2" t="s">
        <v>158</v>
      </c>
      <c r="C97" s="4" t="s">
        <v>9</v>
      </c>
    </row>
    <row r="98" spans="1:3" x14ac:dyDescent="0.25">
      <c r="A98" s="1"/>
      <c r="B98" s="1" t="s">
        <v>259</v>
      </c>
      <c r="C98" s="3">
        <v>15040</v>
      </c>
    </row>
    <row r="99" spans="1:3" ht="14.25" customHeight="1" x14ac:dyDescent="0.25">
      <c r="A99" s="1"/>
      <c r="B99" s="1"/>
      <c r="C99" s="3"/>
    </row>
    <row r="100" spans="1:3" x14ac:dyDescent="0.25">
      <c r="A100" s="2">
        <v>11</v>
      </c>
      <c r="B100" s="2" t="s">
        <v>194</v>
      </c>
      <c r="C100" s="4" t="s">
        <v>9</v>
      </c>
    </row>
    <row r="101" spans="1:3" x14ac:dyDescent="0.25">
      <c r="A101" s="1"/>
      <c r="B101" s="1" t="s">
        <v>53</v>
      </c>
      <c r="C101" s="3">
        <v>713</v>
      </c>
    </row>
    <row r="102" spans="1:3" x14ac:dyDescent="0.25">
      <c r="A102" s="1"/>
      <c r="B102" s="1" t="s">
        <v>54</v>
      </c>
      <c r="C102" s="3">
        <v>2371</v>
      </c>
    </row>
    <row r="103" spans="1:3" x14ac:dyDescent="0.25">
      <c r="A103" s="1"/>
      <c r="B103" s="1" t="s">
        <v>8</v>
      </c>
      <c r="C103" s="3">
        <v>1634</v>
      </c>
    </row>
    <row r="104" spans="1:3" x14ac:dyDescent="0.25">
      <c r="A104" s="1"/>
      <c r="B104" s="1" t="s">
        <v>55</v>
      </c>
      <c r="C104" s="3">
        <v>1317</v>
      </c>
    </row>
    <row r="105" spans="1:3" x14ac:dyDescent="0.25">
      <c r="A105" s="1"/>
      <c r="B105" s="1" t="s">
        <v>56</v>
      </c>
      <c r="C105" s="3">
        <v>14262</v>
      </c>
    </row>
    <row r="106" spans="1:3" x14ac:dyDescent="0.25">
      <c r="A106" s="1"/>
      <c r="B106" s="10" t="s">
        <v>32</v>
      </c>
      <c r="C106" s="10">
        <f>SUM(C101:C105)</f>
        <v>20297</v>
      </c>
    </row>
    <row r="107" spans="1:3" x14ac:dyDescent="0.25">
      <c r="A107" s="1"/>
      <c r="B107" s="1"/>
      <c r="C107" s="3"/>
    </row>
    <row r="108" spans="1:3" x14ac:dyDescent="0.25">
      <c r="A108" s="2">
        <v>12</v>
      </c>
      <c r="B108" s="2" t="s">
        <v>153</v>
      </c>
      <c r="C108" s="3"/>
    </row>
    <row r="109" spans="1:3" x14ac:dyDescent="0.25">
      <c r="A109" s="1"/>
      <c r="B109" s="1" t="s">
        <v>65</v>
      </c>
      <c r="C109" s="3"/>
    </row>
    <row r="110" spans="1:3" ht="17.25" x14ac:dyDescent="0.25">
      <c r="A110" s="1"/>
      <c r="B110" s="1" t="s">
        <v>16</v>
      </c>
      <c r="C110" s="1" t="s">
        <v>156</v>
      </c>
    </row>
    <row r="111" spans="1:3" ht="17.25" x14ac:dyDescent="0.25">
      <c r="A111" s="1"/>
      <c r="B111" s="9" t="s">
        <v>17</v>
      </c>
      <c r="C111" s="1" t="s">
        <v>52</v>
      </c>
    </row>
    <row r="112" spans="1:3" x14ac:dyDescent="0.25">
      <c r="A112" s="1"/>
      <c r="B112" s="1"/>
      <c r="C112" s="3"/>
    </row>
    <row r="113" spans="1:3" x14ac:dyDescent="0.25">
      <c r="A113" s="1"/>
      <c r="B113" s="1" t="s">
        <v>154</v>
      </c>
      <c r="C113" s="4" t="s">
        <v>9</v>
      </c>
    </row>
    <row r="114" spans="1:3" x14ac:dyDescent="0.25">
      <c r="A114" s="1"/>
      <c r="B114" s="1" t="s">
        <v>53</v>
      </c>
      <c r="C114" s="3">
        <v>745</v>
      </c>
    </row>
    <row r="115" spans="1:3" x14ac:dyDescent="0.25">
      <c r="A115" s="1"/>
      <c r="B115" s="1"/>
      <c r="C115" s="3"/>
    </row>
    <row r="116" spans="1:3" ht="17.25" x14ac:dyDescent="0.25">
      <c r="A116" s="1"/>
      <c r="B116" s="2" t="s">
        <v>157</v>
      </c>
      <c r="C116" s="12" t="s">
        <v>76</v>
      </c>
    </row>
    <row r="117" spans="1:3" x14ac:dyDescent="0.25">
      <c r="A117" s="1"/>
      <c r="B117" s="1"/>
      <c r="C117" s="3"/>
    </row>
    <row r="118" spans="1:3" x14ac:dyDescent="0.25">
      <c r="A118" s="1">
        <v>13</v>
      </c>
      <c r="B118" s="2" t="s">
        <v>192</v>
      </c>
      <c r="C118" s="4" t="s">
        <v>9</v>
      </c>
    </row>
    <row r="119" spans="1:3" x14ac:dyDescent="0.25">
      <c r="A119" s="1"/>
      <c r="B119" s="1" t="s">
        <v>175</v>
      </c>
      <c r="C119" s="3">
        <v>10100</v>
      </c>
    </row>
    <row r="120" spans="1:3" x14ac:dyDescent="0.25">
      <c r="A120" s="1"/>
      <c r="B120" s="1" t="s">
        <v>176</v>
      </c>
      <c r="C120" s="3">
        <v>23060</v>
      </c>
    </row>
    <row r="121" spans="1:3" x14ac:dyDescent="0.25">
      <c r="A121" s="1"/>
      <c r="B121" s="1" t="s">
        <v>177</v>
      </c>
      <c r="C121" s="3">
        <v>13745</v>
      </c>
    </row>
    <row r="122" spans="1:3" x14ac:dyDescent="0.25">
      <c r="A122" s="1"/>
      <c r="B122" s="1" t="s">
        <v>260</v>
      </c>
      <c r="C122" s="3">
        <v>1020</v>
      </c>
    </row>
    <row r="123" spans="1:3" x14ac:dyDescent="0.25">
      <c r="A123" s="1"/>
      <c r="B123" s="10" t="s">
        <v>32</v>
      </c>
      <c r="C123" s="10">
        <f>SUM(C119:C122)</f>
        <v>47925</v>
      </c>
    </row>
    <row r="124" spans="1:3" x14ac:dyDescent="0.25">
      <c r="A124" s="1"/>
      <c r="B124" s="1"/>
      <c r="C124" s="3"/>
    </row>
    <row r="125" spans="1:3" x14ac:dyDescent="0.25">
      <c r="A125" s="1">
        <v>14</v>
      </c>
      <c r="B125" s="2" t="s">
        <v>193</v>
      </c>
      <c r="C125" s="4" t="s">
        <v>9</v>
      </c>
    </row>
    <row r="126" spans="1:3" x14ac:dyDescent="0.25">
      <c r="A126" s="1"/>
      <c r="B126" s="1" t="s">
        <v>8</v>
      </c>
      <c r="C126" s="3">
        <v>130</v>
      </c>
    </row>
    <row r="127" spans="1:3" x14ac:dyDescent="0.25">
      <c r="A127" s="1"/>
      <c r="B127" s="1" t="s">
        <v>55</v>
      </c>
      <c r="C127" s="3">
        <v>135</v>
      </c>
    </row>
    <row r="128" spans="1:3" x14ac:dyDescent="0.25">
      <c r="A128" s="1"/>
      <c r="B128" s="1" t="s">
        <v>56</v>
      </c>
      <c r="C128" s="3">
        <v>395</v>
      </c>
    </row>
    <row r="129" spans="1:3" x14ac:dyDescent="0.25">
      <c r="A129" s="1"/>
      <c r="B129" s="10" t="s">
        <v>32</v>
      </c>
      <c r="C129" s="10">
        <f>SUM(C126:C128)</f>
        <v>660</v>
      </c>
    </row>
    <row r="130" spans="1:3" x14ac:dyDescent="0.25">
      <c r="A130" s="1"/>
      <c r="B130" s="1"/>
      <c r="C130" s="3"/>
    </row>
    <row r="131" spans="1:3" x14ac:dyDescent="0.25">
      <c r="A131" s="1">
        <v>15</v>
      </c>
      <c r="B131" s="2" t="s">
        <v>197</v>
      </c>
      <c r="C131" s="4" t="s">
        <v>9</v>
      </c>
    </row>
    <row r="132" spans="1:3" x14ac:dyDescent="0.25">
      <c r="A132" s="1"/>
      <c r="B132" s="1" t="s">
        <v>186</v>
      </c>
      <c r="C132" s="3">
        <v>670</v>
      </c>
    </row>
    <row r="133" spans="1:3" x14ac:dyDescent="0.25">
      <c r="A133" s="1"/>
      <c r="B133" s="1" t="s">
        <v>261</v>
      </c>
      <c r="C133" s="3">
        <v>20210</v>
      </c>
    </row>
    <row r="134" spans="1:3" x14ac:dyDescent="0.25">
      <c r="A134" s="1"/>
      <c r="B134" s="1" t="s">
        <v>262</v>
      </c>
      <c r="C134" s="3">
        <v>12190</v>
      </c>
    </row>
    <row r="135" spans="1:3" x14ac:dyDescent="0.25">
      <c r="A135" s="1"/>
      <c r="B135" s="1" t="s">
        <v>263</v>
      </c>
      <c r="C135" s="3">
        <v>15970</v>
      </c>
    </row>
    <row r="136" spans="1:3" x14ac:dyDescent="0.25">
      <c r="A136" s="1"/>
      <c r="B136" s="1" t="s">
        <v>264</v>
      </c>
      <c r="C136" s="3">
        <v>5198</v>
      </c>
    </row>
    <row r="137" spans="1:3" x14ac:dyDescent="0.25">
      <c r="A137" s="1"/>
      <c r="B137" s="10" t="s">
        <v>32</v>
      </c>
      <c r="C137" s="10">
        <f>SUM(C132:C136)</f>
        <v>54238</v>
      </c>
    </row>
    <row r="138" spans="1:3" x14ac:dyDescent="0.25">
      <c r="A138" s="1"/>
      <c r="B138" s="1"/>
      <c r="C138" s="3"/>
    </row>
    <row r="139" spans="1:3" x14ac:dyDescent="0.25">
      <c r="A139" s="1">
        <v>16</v>
      </c>
      <c r="B139" s="2" t="s">
        <v>201</v>
      </c>
      <c r="C139" s="4" t="s">
        <v>9</v>
      </c>
    </row>
    <row r="140" spans="1:3" x14ac:dyDescent="0.25">
      <c r="A140" s="1"/>
      <c r="B140" s="1" t="s">
        <v>195</v>
      </c>
      <c r="C140" s="3">
        <v>4345</v>
      </c>
    </row>
    <row r="141" spans="1:3" x14ac:dyDescent="0.25">
      <c r="A141" s="1"/>
      <c r="B141" s="1" t="s">
        <v>196</v>
      </c>
      <c r="C141" s="3">
        <v>1990</v>
      </c>
    </row>
    <row r="142" spans="1:3" x14ac:dyDescent="0.25">
      <c r="A142" s="1"/>
      <c r="B142" s="1" t="s">
        <v>202</v>
      </c>
      <c r="C142" s="3">
        <v>1400</v>
      </c>
    </row>
    <row r="143" spans="1:3" x14ac:dyDescent="0.25">
      <c r="A143" s="1"/>
      <c r="B143" s="10" t="s">
        <v>32</v>
      </c>
      <c r="C143" s="10">
        <f>SUM(C140:C142)</f>
        <v>7735</v>
      </c>
    </row>
    <row r="144" spans="1:3" x14ac:dyDescent="0.25">
      <c r="A144" s="1"/>
      <c r="B144" s="1"/>
      <c r="C144" s="1"/>
    </row>
    <row r="145" spans="1:3" ht="17.25" x14ac:dyDescent="0.25">
      <c r="A145" s="1"/>
      <c r="B145" s="2" t="s">
        <v>204</v>
      </c>
      <c r="C145" s="12" t="s">
        <v>205</v>
      </c>
    </row>
    <row r="146" spans="1:3" x14ac:dyDescent="0.25">
      <c r="A146" s="1"/>
      <c r="B146" s="1"/>
      <c r="C146" s="1"/>
    </row>
    <row r="147" spans="1:3" x14ac:dyDescent="0.25">
      <c r="A147" s="1">
        <v>17</v>
      </c>
      <c r="B147" s="2" t="s">
        <v>206</v>
      </c>
      <c r="C147" s="4" t="s">
        <v>9</v>
      </c>
    </row>
    <row r="148" spans="1:3" x14ac:dyDescent="0.25">
      <c r="A148" s="1"/>
      <c r="B148" s="1" t="s">
        <v>53</v>
      </c>
      <c r="C148" s="3">
        <v>975</v>
      </c>
    </row>
    <row r="149" spans="1:3" x14ac:dyDescent="0.25">
      <c r="A149" s="1"/>
      <c r="B149" s="1" t="s">
        <v>54</v>
      </c>
      <c r="C149" s="3">
        <v>2360</v>
      </c>
    </row>
    <row r="150" spans="1:3" x14ac:dyDescent="0.25">
      <c r="A150" s="1"/>
      <c r="B150" s="1" t="s">
        <v>8</v>
      </c>
      <c r="C150" s="3">
        <v>4185</v>
      </c>
    </row>
    <row r="151" spans="1:3" x14ac:dyDescent="0.25">
      <c r="A151" s="1"/>
      <c r="B151" s="1" t="s">
        <v>55</v>
      </c>
      <c r="C151" s="3">
        <v>2678</v>
      </c>
    </row>
    <row r="152" spans="1:3" x14ac:dyDescent="0.25">
      <c r="A152" s="1"/>
      <c r="B152" s="1" t="s">
        <v>56</v>
      </c>
      <c r="C152" s="3">
        <v>41320</v>
      </c>
    </row>
    <row r="153" spans="1:3" x14ac:dyDescent="0.25">
      <c r="A153" s="1"/>
      <c r="B153" s="10" t="s">
        <v>32</v>
      </c>
      <c r="C153" s="10">
        <f>SUM(C148:C152)</f>
        <v>51518</v>
      </c>
    </row>
    <row r="154" spans="1:3" x14ac:dyDescent="0.25">
      <c r="A154" s="1"/>
      <c r="B154" s="10"/>
      <c r="C154" s="10"/>
    </row>
    <row r="155" spans="1:3" ht="17.25" x14ac:dyDescent="0.25">
      <c r="A155" s="1"/>
      <c r="B155" s="2" t="s">
        <v>207</v>
      </c>
      <c r="C155" s="2" t="s">
        <v>208</v>
      </c>
    </row>
    <row r="156" spans="1:3" x14ac:dyDescent="0.25">
      <c r="A156" s="1"/>
      <c r="B156" s="1"/>
      <c r="C156" s="1"/>
    </row>
    <row r="157" spans="1:3" x14ac:dyDescent="0.25">
      <c r="A157" s="1">
        <v>18</v>
      </c>
      <c r="B157" s="2" t="s">
        <v>203</v>
      </c>
      <c r="C157" s="4" t="s">
        <v>9</v>
      </c>
    </row>
    <row r="158" spans="1:3" x14ac:dyDescent="0.25">
      <c r="A158" s="1"/>
      <c r="B158" s="1" t="s">
        <v>271</v>
      </c>
      <c r="C158" s="3">
        <v>820</v>
      </c>
    </row>
    <row r="159" spans="1:3" x14ac:dyDescent="0.25">
      <c r="A159" s="1"/>
      <c r="B159" s="1" t="s">
        <v>265</v>
      </c>
      <c r="C159" s="3">
        <v>7825</v>
      </c>
    </row>
    <row r="160" spans="1:3" x14ac:dyDescent="0.25">
      <c r="A160" s="1"/>
      <c r="B160" s="1" t="s">
        <v>266</v>
      </c>
      <c r="C160" s="3">
        <v>13510</v>
      </c>
    </row>
    <row r="161" spans="1:3" x14ac:dyDescent="0.25">
      <c r="A161" s="1"/>
      <c r="B161" s="1" t="s">
        <v>267</v>
      </c>
      <c r="C161" s="3">
        <v>3195</v>
      </c>
    </row>
    <row r="162" spans="1:3" x14ac:dyDescent="0.25">
      <c r="A162" s="1"/>
      <c r="B162" s="1" t="s">
        <v>268</v>
      </c>
      <c r="C162" s="3">
        <v>21965</v>
      </c>
    </row>
    <row r="163" spans="1:3" x14ac:dyDescent="0.25">
      <c r="A163" s="1"/>
      <c r="B163" s="1" t="s">
        <v>269</v>
      </c>
      <c r="C163" s="3">
        <v>27050</v>
      </c>
    </row>
    <row r="164" spans="1:3" x14ac:dyDescent="0.25">
      <c r="A164" s="1"/>
      <c r="B164" s="1" t="s">
        <v>270</v>
      </c>
      <c r="C164" s="3">
        <v>44280</v>
      </c>
    </row>
    <row r="165" spans="1:3" x14ac:dyDescent="0.25">
      <c r="A165" s="1"/>
      <c r="B165" s="10" t="s">
        <v>32</v>
      </c>
      <c r="C165" s="10">
        <f>SUM(C158:C164)</f>
        <v>118645</v>
      </c>
    </row>
    <row r="166" spans="1:3" x14ac:dyDescent="0.25">
      <c r="A166" s="1"/>
      <c r="B166" s="2"/>
      <c r="C166" s="2"/>
    </row>
    <row r="167" spans="1:3" x14ac:dyDescent="0.25">
      <c r="A167" s="1">
        <v>19</v>
      </c>
      <c r="B167" s="2" t="s">
        <v>215</v>
      </c>
      <c r="C167" s="4" t="s">
        <v>9</v>
      </c>
    </row>
    <row r="168" spans="1:3" x14ac:dyDescent="0.25">
      <c r="A168" s="1"/>
      <c r="B168" s="1" t="s">
        <v>216</v>
      </c>
      <c r="C168" s="3">
        <v>10205</v>
      </c>
    </row>
    <row r="169" spans="1:3" x14ac:dyDescent="0.25">
      <c r="A169" s="1"/>
      <c r="B169" s="1" t="s">
        <v>217</v>
      </c>
      <c r="C169" s="3">
        <v>9998</v>
      </c>
    </row>
    <row r="170" spans="1:3" x14ac:dyDescent="0.25">
      <c r="A170" s="1"/>
      <c r="B170" s="10" t="s">
        <v>32</v>
      </c>
      <c r="C170" s="10">
        <f>SUM(C168:C169)</f>
        <v>20203</v>
      </c>
    </row>
    <row r="171" spans="1:3" x14ac:dyDescent="0.25">
      <c r="A171" s="1"/>
      <c r="B171" s="1"/>
      <c r="C171" s="4"/>
    </row>
    <row r="172" spans="1:3" x14ac:dyDescent="0.25">
      <c r="A172" s="1">
        <v>20</v>
      </c>
      <c r="B172" s="2" t="s">
        <v>224</v>
      </c>
      <c r="C172" s="4" t="s">
        <v>9</v>
      </c>
    </row>
    <row r="173" spans="1:3" x14ac:dyDescent="0.25">
      <c r="A173" s="1"/>
      <c r="B173" s="1" t="s">
        <v>202</v>
      </c>
      <c r="C173" s="3">
        <v>150</v>
      </c>
    </row>
    <row r="174" spans="1:3" x14ac:dyDescent="0.25">
      <c r="A174" s="1"/>
      <c r="B174" s="1" t="s">
        <v>218</v>
      </c>
      <c r="C174" s="3">
        <v>3220</v>
      </c>
    </row>
    <row r="175" spans="1:3" x14ac:dyDescent="0.25">
      <c r="A175" s="1"/>
      <c r="B175" s="10" t="s">
        <v>32</v>
      </c>
      <c r="C175" s="10">
        <f>SUM(C173:C174)</f>
        <v>3370</v>
      </c>
    </row>
    <row r="176" spans="1:3" x14ac:dyDescent="0.25">
      <c r="A176" s="1"/>
      <c r="B176" s="10"/>
      <c r="C176" s="10"/>
    </row>
    <row r="177" spans="1:3" ht="17.25" x14ac:dyDescent="0.25">
      <c r="A177" s="1"/>
      <c r="B177" s="2" t="s">
        <v>22</v>
      </c>
      <c r="C177" s="12" t="s">
        <v>76</v>
      </c>
    </row>
    <row r="178" spans="1:3" x14ac:dyDescent="0.25">
      <c r="A178" s="1"/>
      <c r="B178" s="1"/>
      <c r="C178" s="4"/>
    </row>
    <row r="179" spans="1:3" x14ac:dyDescent="0.25">
      <c r="A179" s="1">
        <v>21</v>
      </c>
      <c r="B179" s="2" t="s">
        <v>225</v>
      </c>
      <c r="C179" s="4" t="s">
        <v>9</v>
      </c>
    </row>
    <row r="180" spans="1:3" x14ac:dyDescent="0.25">
      <c r="A180" s="1"/>
      <c r="B180" s="1" t="s">
        <v>219</v>
      </c>
      <c r="C180" s="3">
        <v>5340</v>
      </c>
    </row>
    <row r="181" spans="1:3" x14ac:dyDescent="0.25">
      <c r="A181" s="1"/>
      <c r="B181" s="1" t="s">
        <v>220</v>
      </c>
      <c r="C181" s="3">
        <v>54155</v>
      </c>
    </row>
    <row r="182" spans="1:3" x14ac:dyDescent="0.25">
      <c r="A182" s="1"/>
      <c r="B182" s="1" t="s">
        <v>221</v>
      </c>
      <c r="C182" s="3">
        <v>29260</v>
      </c>
    </row>
    <row r="183" spans="1:3" x14ac:dyDescent="0.25">
      <c r="A183" s="1"/>
      <c r="B183" s="1" t="s">
        <v>222</v>
      </c>
      <c r="C183" s="3">
        <v>13460</v>
      </c>
    </row>
    <row r="184" spans="1:3" x14ac:dyDescent="0.25">
      <c r="A184" s="1"/>
      <c r="B184" s="1" t="s">
        <v>223</v>
      </c>
      <c r="C184" s="3">
        <v>8310</v>
      </c>
    </row>
    <row r="185" spans="1:3" x14ac:dyDescent="0.25">
      <c r="A185" s="1"/>
      <c r="B185" s="10" t="s">
        <v>32</v>
      </c>
      <c r="C185" s="10">
        <f>SUM(C180:C184)</f>
        <v>110525</v>
      </c>
    </row>
    <row r="186" spans="1:3" x14ac:dyDescent="0.25">
      <c r="A186" s="1"/>
      <c r="B186" s="2"/>
      <c r="C186" s="4"/>
    </row>
    <row r="187" spans="1:3" ht="17.25" x14ac:dyDescent="0.25">
      <c r="A187" s="1"/>
      <c r="B187" s="2" t="s">
        <v>21</v>
      </c>
      <c r="C187" s="12" t="s">
        <v>80</v>
      </c>
    </row>
    <row r="188" spans="1:3" x14ac:dyDescent="0.25">
      <c r="A188" s="1"/>
      <c r="B188" s="1"/>
      <c r="C188" s="8"/>
    </row>
    <row r="189" spans="1:3" x14ac:dyDescent="0.25">
      <c r="A189" s="1">
        <v>22</v>
      </c>
      <c r="B189" s="2" t="s">
        <v>141</v>
      </c>
      <c r="C189" s="4" t="s">
        <v>9</v>
      </c>
    </row>
    <row r="190" spans="1:3" x14ac:dyDescent="0.25">
      <c r="A190" s="1"/>
      <c r="B190" s="1" t="s">
        <v>272</v>
      </c>
      <c r="C190" s="3">
        <v>2835</v>
      </c>
    </row>
    <row r="191" spans="1:3" x14ac:dyDescent="0.25">
      <c r="A191" s="1"/>
      <c r="B191" s="1"/>
      <c r="C191" s="8"/>
    </row>
    <row r="192" spans="1:3" x14ac:dyDescent="0.25">
      <c r="A192" s="1">
        <v>23</v>
      </c>
      <c r="B192" s="2" t="s">
        <v>227</v>
      </c>
      <c r="C192" s="4" t="s">
        <v>9</v>
      </c>
    </row>
    <row r="193" spans="1:3" x14ac:dyDescent="0.25">
      <c r="A193" s="1"/>
      <c r="B193" s="1" t="s">
        <v>230</v>
      </c>
      <c r="C193" s="3">
        <v>130</v>
      </c>
    </row>
    <row r="194" spans="1:3" x14ac:dyDescent="0.25">
      <c r="A194" s="1"/>
      <c r="B194" s="1" t="s">
        <v>216</v>
      </c>
      <c r="C194" s="3">
        <v>1955</v>
      </c>
    </row>
    <row r="195" spans="1:3" x14ac:dyDescent="0.25">
      <c r="A195" s="1"/>
      <c r="B195" s="1" t="s">
        <v>217</v>
      </c>
      <c r="C195" s="3">
        <v>3515</v>
      </c>
    </row>
    <row r="196" spans="1:3" x14ac:dyDescent="0.25">
      <c r="A196" s="1"/>
      <c r="B196" s="10" t="s">
        <v>32</v>
      </c>
      <c r="C196" s="10">
        <f>SUM(C193:C195)</f>
        <v>5600</v>
      </c>
    </row>
    <row r="197" spans="1:3" x14ac:dyDescent="0.25">
      <c r="A197" s="1"/>
      <c r="B197" s="2"/>
      <c r="C197" s="4"/>
    </row>
    <row r="198" spans="1:3" ht="17.25" x14ac:dyDescent="0.25">
      <c r="A198" s="1"/>
      <c r="B198" s="2" t="s">
        <v>20</v>
      </c>
      <c r="C198" s="12" t="s">
        <v>73</v>
      </c>
    </row>
    <row r="199" spans="1:3" x14ac:dyDescent="0.25">
      <c r="A199" s="1"/>
      <c r="B199" s="1"/>
      <c r="C199" s="1"/>
    </row>
    <row r="200" spans="1:3" x14ac:dyDescent="0.25">
      <c r="A200" s="1">
        <v>24</v>
      </c>
      <c r="B200" s="2" t="s">
        <v>273</v>
      </c>
      <c r="C200" s="4" t="s">
        <v>9</v>
      </c>
    </row>
    <row r="201" spans="1:3" x14ac:dyDescent="0.25">
      <c r="A201" s="1"/>
      <c r="B201" s="1" t="s">
        <v>212</v>
      </c>
      <c r="C201" s="3">
        <v>7330</v>
      </c>
    </row>
    <row r="202" spans="1:3" x14ac:dyDescent="0.25">
      <c r="A202" s="1"/>
      <c r="B202" s="1" t="s">
        <v>213</v>
      </c>
      <c r="C202" s="3">
        <v>3265</v>
      </c>
    </row>
    <row r="203" spans="1:3" x14ac:dyDescent="0.25">
      <c r="A203" s="1"/>
      <c r="B203" s="10" t="s">
        <v>32</v>
      </c>
      <c r="C203" s="10">
        <f>SUM(C201:C202)</f>
        <v>10595</v>
      </c>
    </row>
    <row r="204" spans="1:3" x14ac:dyDescent="0.25">
      <c r="A204" s="1"/>
      <c r="B204" s="1"/>
      <c r="C204" s="1"/>
    </row>
    <row r="205" spans="1:3" x14ac:dyDescent="0.25">
      <c r="A205" s="1">
        <v>25</v>
      </c>
      <c r="B205" s="2" t="s">
        <v>232</v>
      </c>
      <c r="C205" s="4" t="s">
        <v>9</v>
      </c>
    </row>
    <row r="206" spans="1:3" x14ac:dyDescent="0.25">
      <c r="A206" s="1"/>
      <c r="B206" s="1" t="s">
        <v>235</v>
      </c>
      <c r="C206" s="3">
        <v>620</v>
      </c>
    </row>
    <row r="207" spans="1:3" x14ac:dyDescent="0.25">
      <c r="A207" s="1"/>
      <c r="B207" s="1" t="s">
        <v>228</v>
      </c>
      <c r="C207" s="3">
        <v>455</v>
      </c>
    </row>
    <row r="208" spans="1:3" x14ac:dyDescent="0.25">
      <c r="A208" s="1"/>
      <c r="B208" s="1" t="s">
        <v>229</v>
      </c>
      <c r="C208" s="3">
        <v>475</v>
      </c>
    </row>
    <row r="209" spans="1:3" x14ac:dyDescent="0.25">
      <c r="A209" s="1"/>
      <c r="B209" s="1" t="s">
        <v>230</v>
      </c>
      <c r="C209" s="3">
        <v>520</v>
      </c>
    </row>
    <row r="210" spans="1:3" x14ac:dyDescent="0.25">
      <c r="A210" s="1"/>
      <c r="B210" s="1" t="s">
        <v>216</v>
      </c>
      <c r="C210" s="3">
        <v>32685</v>
      </c>
    </row>
    <row r="211" spans="1:3" x14ac:dyDescent="0.25">
      <c r="A211" s="1"/>
      <c r="B211" s="1" t="s">
        <v>217</v>
      </c>
      <c r="C211" s="3">
        <v>34375</v>
      </c>
    </row>
    <row r="212" spans="1:3" x14ac:dyDescent="0.25">
      <c r="A212" s="1"/>
      <c r="B212" s="10" t="s">
        <v>32</v>
      </c>
      <c r="C212" s="10">
        <f>SUM(C206:C211)</f>
        <v>69130</v>
      </c>
    </row>
    <row r="213" spans="1:3" x14ac:dyDescent="0.25">
      <c r="A213" s="1"/>
      <c r="B213" s="2"/>
      <c r="C213" s="4"/>
    </row>
    <row r="214" spans="1:3" ht="17.25" x14ac:dyDescent="0.25">
      <c r="A214" s="1"/>
      <c r="B214" s="2" t="s">
        <v>231</v>
      </c>
      <c r="C214" s="2" t="s">
        <v>234</v>
      </c>
    </row>
    <row r="215" spans="1:3" x14ac:dyDescent="0.25">
      <c r="A215" s="1"/>
      <c r="B215" s="1"/>
      <c r="C215" s="1"/>
    </row>
    <row r="216" spans="1:3" x14ac:dyDescent="0.25">
      <c r="A216" s="1">
        <v>26</v>
      </c>
      <c r="B216" s="2" t="s">
        <v>274</v>
      </c>
      <c r="C216" s="4" t="s">
        <v>9</v>
      </c>
    </row>
    <row r="217" spans="1:3" x14ac:dyDescent="0.25">
      <c r="A217" s="1"/>
      <c r="B217" s="1" t="s">
        <v>94</v>
      </c>
      <c r="C217" s="3">
        <v>9600</v>
      </c>
    </row>
    <row r="218" spans="1:3" x14ac:dyDescent="0.25">
      <c r="A218" s="1"/>
      <c r="B218" s="1" t="s">
        <v>95</v>
      </c>
      <c r="C218" s="3">
        <v>13635</v>
      </c>
    </row>
    <row r="219" spans="1:3" x14ac:dyDescent="0.25">
      <c r="A219" s="1"/>
      <c r="B219" s="1" t="s">
        <v>280</v>
      </c>
      <c r="C219" s="3">
        <v>12545</v>
      </c>
    </row>
    <row r="220" spans="1:3" x14ac:dyDescent="0.25">
      <c r="A220" s="1"/>
      <c r="B220" s="1" t="s">
        <v>275</v>
      </c>
      <c r="C220" s="3">
        <v>26105</v>
      </c>
    </row>
    <row r="221" spans="1:3" x14ac:dyDescent="0.25">
      <c r="A221" s="1"/>
      <c r="B221" s="1" t="s">
        <v>276</v>
      </c>
      <c r="C221" s="3">
        <v>48300</v>
      </c>
    </row>
    <row r="222" spans="1:3" x14ac:dyDescent="0.25">
      <c r="A222" s="1"/>
      <c r="B222" s="1" t="s">
        <v>277</v>
      </c>
      <c r="C222" s="3">
        <v>36293</v>
      </c>
    </row>
    <row r="223" spans="1:3" x14ac:dyDescent="0.25">
      <c r="A223" s="1"/>
      <c r="B223" s="1" t="s">
        <v>278</v>
      </c>
      <c r="C223" s="3">
        <v>36055</v>
      </c>
    </row>
    <row r="224" spans="1:3" x14ac:dyDescent="0.25">
      <c r="A224" s="1"/>
      <c r="B224" s="1" t="s">
        <v>279</v>
      </c>
      <c r="C224" s="3">
        <v>11120</v>
      </c>
    </row>
    <row r="225" spans="1:3" x14ac:dyDescent="0.25">
      <c r="A225" s="1"/>
      <c r="B225" s="10" t="s">
        <v>32</v>
      </c>
      <c r="C225" s="10">
        <f>SUM(C217:C224)</f>
        <v>193653</v>
      </c>
    </row>
    <row r="226" spans="1:3" x14ac:dyDescent="0.25">
      <c r="A226" s="1"/>
      <c r="B226" s="1"/>
      <c r="C226" s="1"/>
    </row>
    <row r="227" spans="1:3" x14ac:dyDescent="0.25">
      <c r="A227" s="2">
        <v>27</v>
      </c>
      <c r="B227" s="2" t="s">
        <v>101</v>
      </c>
      <c r="C227" s="4" t="s">
        <v>9</v>
      </c>
    </row>
    <row r="228" spans="1:3" x14ac:dyDescent="0.25">
      <c r="A228" s="1"/>
      <c r="B228" s="1" t="s">
        <v>281</v>
      </c>
      <c r="C228" s="3">
        <v>2125</v>
      </c>
    </row>
    <row r="229" spans="1:3" x14ac:dyDescent="0.25">
      <c r="A229" s="1"/>
      <c r="B229" s="1"/>
      <c r="C229" s="1"/>
    </row>
    <row r="230" spans="1:3" ht="17.25" x14ac:dyDescent="0.25">
      <c r="A230" s="1"/>
      <c r="B230" s="16" t="s">
        <v>30</v>
      </c>
      <c r="C230" s="12" t="s">
        <v>102</v>
      </c>
    </row>
    <row r="231" spans="1:3" x14ac:dyDescent="0.25">
      <c r="A231" s="1"/>
      <c r="B231" s="1"/>
      <c r="C231" s="1"/>
    </row>
    <row r="232" spans="1:3" x14ac:dyDescent="0.25">
      <c r="A232" s="2">
        <v>28</v>
      </c>
      <c r="B232" s="2" t="s">
        <v>282</v>
      </c>
      <c r="C232" s="4" t="s">
        <v>9</v>
      </c>
    </row>
    <row r="233" spans="1:3" x14ac:dyDescent="0.25">
      <c r="A233" s="1"/>
      <c r="B233" s="1" t="s">
        <v>283</v>
      </c>
      <c r="C233" s="3">
        <v>2050</v>
      </c>
    </row>
    <row r="234" spans="1:3" x14ac:dyDescent="0.25">
      <c r="A234" s="1"/>
      <c r="B234" s="1" t="s">
        <v>284</v>
      </c>
      <c r="C234" s="3">
        <v>3545</v>
      </c>
    </row>
    <row r="235" spans="1:3" x14ac:dyDescent="0.25">
      <c r="A235" s="1"/>
      <c r="B235" s="1" t="s">
        <v>285</v>
      </c>
      <c r="C235" s="3">
        <v>2335</v>
      </c>
    </row>
    <row r="236" spans="1:3" x14ac:dyDescent="0.25">
      <c r="A236" s="1"/>
      <c r="B236" s="1" t="s">
        <v>286</v>
      </c>
      <c r="C236" s="3">
        <v>23985</v>
      </c>
    </row>
    <row r="237" spans="1:3" x14ac:dyDescent="0.25">
      <c r="A237" s="1"/>
      <c r="B237" s="1" t="s">
        <v>287</v>
      </c>
      <c r="C237" s="3">
        <v>21095</v>
      </c>
    </row>
    <row r="238" spans="1:3" x14ac:dyDescent="0.25">
      <c r="A238" s="1"/>
      <c r="B238" s="10" t="s">
        <v>32</v>
      </c>
      <c r="C238" s="13">
        <f>SUM(C233:C237)</f>
        <v>53010</v>
      </c>
    </row>
    <row r="239" spans="1:3" x14ac:dyDescent="0.25">
      <c r="A239" s="1"/>
      <c r="B239" s="1"/>
      <c r="C239" s="1"/>
    </row>
    <row r="240" spans="1:3" x14ac:dyDescent="0.25">
      <c r="A240" s="1">
        <v>29</v>
      </c>
      <c r="B240" s="2" t="s">
        <v>311</v>
      </c>
      <c r="C240" s="4" t="s">
        <v>9</v>
      </c>
    </row>
    <row r="241" spans="1:3" x14ac:dyDescent="0.25">
      <c r="A241" s="1"/>
      <c r="B241" s="1" t="s">
        <v>196</v>
      </c>
      <c r="C241" s="3">
        <v>24260</v>
      </c>
    </row>
    <row r="242" spans="1:3" x14ac:dyDescent="0.25">
      <c r="A242" s="1"/>
      <c r="B242" s="1"/>
      <c r="C242" s="1"/>
    </row>
    <row r="243" spans="1:3" x14ac:dyDescent="0.25">
      <c r="A243" s="1">
        <v>30</v>
      </c>
      <c r="B243" s="2" t="s">
        <v>312</v>
      </c>
      <c r="C243" s="4" t="s">
        <v>9</v>
      </c>
    </row>
    <row r="244" spans="1:3" x14ac:dyDescent="0.25">
      <c r="A244" s="1"/>
      <c r="B244" s="1" t="s">
        <v>131</v>
      </c>
      <c r="C244" s="3">
        <v>245</v>
      </c>
    </row>
    <row r="245" spans="1:3" x14ac:dyDescent="0.25">
      <c r="A245" s="1"/>
      <c r="B245" s="1" t="s">
        <v>288</v>
      </c>
      <c r="C245" s="3">
        <v>425</v>
      </c>
    </row>
    <row r="246" spans="1:3" x14ac:dyDescent="0.25">
      <c r="A246" s="1"/>
      <c r="B246" s="1" t="s">
        <v>289</v>
      </c>
      <c r="C246" s="3">
        <v>395</v>
      </c>
    </row>
    <row r="247" spans="1:3" x14ac:dyDescent="0.25">
      <c r="A247" s="1"/>
      <c r="B247" s="10" t="s">
        <v>32</v>
      </c>
      <c r="C247" s="13">
        <f>SUM(C244:C246)</f>
        <v>1065</v>
      </c>
    </row>
    <row r="248" spans="1:3" x14ac:dyDescent="0.25">
      <c r="A248" s="1"/>
      <c r="B248" s="1"/>
      <c r="C248" s="1"/>
    </row>
    <row r="249" spans="1:3" ht="17.25" x14ac:dyDescent="0.25">
      <c r="A249" s="1"/>
      <c r="B249" s="16" t="s">
        <v>19</v>
      </c>
      <c r="C249" s="12" t="s">
        <v>208</v>
      </c>
    </row>
    <row r="250" spans="1:3" x14ac:dyDescent="0.25">
      <c r="A250" s="1"/>
      <c r="B250" s="1"/>
      <c r="C250" s="1"/>
    </row>
    <row r="251" spans="1:3" x14ac:dyDescent="0.25">
      <c r="A251" s="1">
        <v>31</v>
      </c>
      <c r="B251" s="2" t="s">
        <v>290</v>
      </c>
      <c r="C251" s="4" t="s">
        <v>9</v>
      </c>
    </row>
    <row r="252" spans="1:3" x14ac:dyDescent="0.25">
      <c r="A252" s="1"/>
      <c r="B252" s="1" t="s">
        <v>295</v>
      </c>
      <c r="C252" s="3">
        <v>1205</v>
      </c>
    </row>
    <row r="253" spans="1:3" x14ac:dyDescent="0.25">
      <c r="A253" s="1"/>
      <c r="B253" s="1" t="s">
        <v>296</v>
      </c>
      <c r="C253" s="3">
        <v>6815</v>
      </c>
    </row>
    <row r="254" spans="1:3" x14ac:dyDescent="0.25">
      <c r="A254" s="1"/>
      <c r="B254" s="1" t="s">
        <v>297</v>
      </c>
      <c r="C254" s="3">
        <v>11735</v>
      </c>
    </row>
    <row r="255" spans="1:3" x14ac:dyDescent="0.25">
      <c r="A255" s="1"/>
      <c r="B255" s="1" t="s">
        <v>298</v>
      </c>
      <c r="C255" s="3">
        <v>14690</v>
      </c>
    </row>
    <row r="256" spans="1:3" x14ac:dyDescent="0.25">
      <c r="A256" s="1"/>
      <c r="B256" s="1" t="s">
        <v>299</v>
      </c>
      <c r="C256" s="3">
        <v>1780</v>
      </c>
    </row>
    <row r="257" spans="1:3" x14ac:dyDescent="0.25">
      <c r="A257" s="1"/>
      <c r="B257" s="10" t="s">
        <v>32</v>
      </c>
      <c r="C257" s="13">
        <f>SUM(C252:C256)</f>
        <v>36225</v>
      </c>
    </row>
    <row r="258" spans="1:3" x14ac:dyDescent="0.25">
      <c r="A258" s="1"/>
      <c r="B258" s="1"/>
      <c r="C258" s="1"/>
    </row>
    <row r="259" spans="1:3" ht="17.25" x14ac:dyDescent="0.25">
      <c r="A259" s="1"/>
      <c r="B259" s="16" t="s">
        <v>292</v>
      </c>
      <c r="C259" s="12" t="s">
        <v>291</v>
      </c>
    </row>
    <row r="260" spans="1:3" x14ac:dyDescent="0.25">
      <c r="A260" s="1"/>
      <c r="B260" s="1"/>
      <c r="C260" s="1"/>
    </row>
    <row r="261" spans="1:3" x14ac:dyDescent="0.25">
      <c r="A261" s="1">
        <v>32</v>
      </c>
      <c r="B261" s="2" t="s">
        <v>343</v>
      </c>
      <c r="C261" s="4" t="s">
        <v>9</v>
      </c>
    </row>
    <row r="262" spans="1:3" x14ac:dyDescent="0.25">
      <c r="A262" s="1"/>
      <c r="B262" s="1" t="s">
        <v>48</v>
      </c>
      <c r="C262" s="3">
        <v>4165</v>
      </c>
    </row>
    <row r="263" spans="1:3" x14ac:dyDescent="0.25">
      <c r="A263" s="1"/>
      <c r="B263" s="1" t="s">
        <v>49</v>
      </c>
      <c r="C263" s="3">
        <v>2680</v>
      </c>
    </row>
    <row r="264" spans="1:3" x14ac:dyDescent="0.25">
      <c r="A264" s="1"/>
      <c r="B264" s="1" t="s">
        <v>50</v>
      </c>
      <c r="C264" s="3">
        <v>1448</v>
      </c>
    </row>
    <row r="265" spans="1:3" x14ac:dyDescent="0.25">
      <c r="A265" s="1"/>
      <c r="B265" s="1" t="s">
        <v>51</v>
      </c>
      <c r="C265" s="3">
        <v>855</v>
      </c>
    </row>
    <row r="266" spans="1:3" x14ac:dyDescent="0.25">
      <c r="A266" s="1"/>
      <c r="B266" s="1" t="s">
        <v>293</v>
      </c>
      <c r="C266" s="3">
        <v>2630</v>
      </c>
    </row>
    <row r="267" spans="1:3" x14ac:dyDescent="0.25">
      <c r="A267" s="1"/>
      <c r="B267" s="1" t="s">
        <v>294</v>
      </c>
      <c r="C267" s="3">
        <v>16227</v>
      </c>
    </row>
    <row r="268" spans="1:3" x14ac:dyDescent="0.25">
      <c r="A268" s="1"/>
      <c r="B268" s="1" t="s">
        <v>281</v>
      </c>
      <c r="C268" s="3">
        <v>5448</v>
      </c>
    </row>
    <row r="269" spans="1:3" x14ac:dyDescent="0.25">
      <c r="A269" s="1"/>
      <c r="B269" s="10" t="s">
        <v>32</v>
      </c>
      <c r="C269" s="13">
        <f>SUM(C262:C268)</f>
        <v>33453</v>
      </c>
    </row>
    <row r="270" spans="1:3" x14ac:dyDescent="0.25">
      <c r="A270" s="1"/>
      <c r="B270" s="10"/>
      <c r="C270" s="13"/>
    </row>
    <row r="271" spans="1:3" x14ac:dyDescent="0.25">
      <c r="A271" s="1">
        <v>33</v>
      </c>
      <c r="B271" s="2" t="s">
        <v>300</v>
      </c>
      <c r="C271" s="4" t="s">
        <v>9</v>
      </c>
    </row>
    <row r="272" spans="1:3" x14ac:dyDescent="0.25">
      <c r="A272" s="1"/>
      <c r="B272" s="1" t="s">
        <v>55</v>
      </c>
      <c r="C272" s="17">
        <v>1625</v>
      </c>
    </row>
    <row r="273" spans="1:3" x14ac:dyDescent="0.25">
      <c r="A273" s="1"/>
      <c r="B273" s="10"/>
      <c r="C273" s="13"/>
    </row>
    <row r="274" spans="1:3" ht="17.25" x14ac:dyDescent="0.25">
      <c r="A274" s="1"/>
      <c r="B274" s="16" t="s">
        <v>307</v>
      </c>
      <c r="C274" s="12" t="s">
        <v>208</v>
      </c>
    </row>
    <row r="275" spans="1:3" x14ac:dyDescent="0.25">
      <c r="A275" s="1"/>
      <c r="B275" s="16"/>
      <c r="C275" s="12"/>
    </row>
    <row r="276" spans="1:3" x14ac:dyDescent="0.25">
      <c r="A276" s="1">
        <v>34</v>
      </c>
      <c r="B276" s="2" t="s">
        <v>301</v>
      </c>
      <c r="C276" s="4" t="s">
        <v>9</v>
      </c>
    </row>
    <row r="277" spans="1:3" x14ac:dyDescent="0.25">
      <c r="A277" s="1"/>
      <c r="B277" s="1" t="s">
        <v>28</v>
      </c>
      <c r="C277" s="17">
        <v>1182</v>
      </c>
    </row>
    <row r="278" spans="1:3" x14ac:dyDescent="0.25">
      <c r="A278" s="1"/>
      <c r="B278" s="1" t="s">
        <v>79</v>
      </c>
      <c r="C278" s="18">
        <v>7150</v>
      </c>
    </row>
    <row r="279" spans="1:3" x14ac:dyDescent="0.25">
      <c r="A279" s="1"/>
      <c r="B279" s="1" t="s">
        <v>77</v>
      </c>
      <c r="C279" s="18">
        <v>5505</v>
      </c>
    </row>
    <row r="280" spans="1:3" x14ac:dyDescent="0.25">
      <c r="A280" s="1"/>
      <c r="B280" s="1" t="s">
        <v>302</v>
      </c>
      <c r="C280" s="18">
        <v>16710</v>
      </c>
    </row>
    <row r="281" spans="1:3" x14ac:dyDescent="0.25">
      <c r="A281" s="1"/>
      <c r="B281" s="10" t="s">
        <v>32</v>
      </c>
      <c r="C281" s="13">
        <f>SUM(C276:C280)</f>
        <v>30547</v>
      </c>
    </row>
    <row r="282" spans="1:3" x14ac:dyDescent="0.25">
      <c r="A282" s="1"/>
      <c r="B282" s="10"/>
      <c r="C282" s="15"/>
    </row>
    <row r="283" spans="1:3" x14ac:dyDescent="0.25">
      <c r="A283" s="1">
        <v>35</v>
      </c>
      <c r="B283" s="2" t="s">
        <v>303</v>
      </c>
      <c r="C283" s="4" t="s">
        <v>9</v>
      </c>
    </row>
    <row r="284" spans="1:3" x14ac:dyDescent="0.25">
      <c r="A284" s="1"/>
      <c r="B284" s="1" t="s">
        <v>306</v>
      </c>
      <c r="C284" s="3">
        <v>235</v>
      </c>
    </row>
    <row r="285" spans="1:3" x14ac:dyDescent="0.25">
      <c r="A285" s="1"/>
      <c r="B285" s="10"/>
      <c r="C285" s="15"/>
    </row>
    <row r="286" spans="1:3" ht="17.25" x14ac:dyDescent="0.25">
      <c r="A286" s="1"/>
      <c r="B286" s="16" t="s">
        <v>308</v>
      </c>
      <c r="C286" s="12" t="s">
        <v>167</v>
      </c>
    </row>
    <row r="287" spans="1:3" x14ac:dyDescent="0.25">
      <c r="A287" s="1"/>
      <c r="B287" s="10"/>
      <c r="C287" s="15"/>
    </row>
    <row r="288" spans="1:3" x14ac:dyDescent="0.25">
      <c r="A288" s="1">
        <v>36</v>
      </c>
      <c r="B288" s="2" t="s">
        <v>309</v>
      </c>
      <c r="C288" s="4" t="s">
        <v>9</v>
      </c>
    </row>
    <row r="289" spans="1:3" x14ac:dyDescent="0.25">
      <c r="A289" s="1"/>
      <c r="B289" s="1" t="s">
        <v>304</v>
      </c>
      <c r="C289" s="3">
        <v>3015</v>
      </c>
    </row>
    <row r="290" spans="1:3" x14ac:dyDescent="0.25">
      <c r="A290" s="1"/>
      <c r="B290" s="1" t="s">
        <v>305</v>
      </c>
      <c r="C290" s="3">
        <v>3208</v>
      </c>
    </row>
    <row r="291" spans="1:3" x14ac:dyDescent="0.25">
      <c r="A291" s="1"/>
      <c r="B291" s="1" t="s">
        <v>306</v>
      </c>
      <c r="C291" s="3">
        <v>565</v>
      </c>
    </row>
    <row r="292" spans="1:3" x14ac:dyDescent="0.25">
      <c r="A292" s="1"/>
      <c r="B292" s="10" t="s">
        <v>32</v>
      </c>
      <c r="C292" s="13">
        <f>SUM(C289:C291)</f>
        <v>6788</v>
      </c>
    </row>
    <row r="293" spans="1:3" x14ac:dyDescent="0.25">
      <c r="A293" s="1"/>
      <c r="B293" s="1"/>
      <c r="C293" s="3"/>
    </row>
    <row r="294" spans="1:3" ht="17.25" x14ac:dyDescent="0.25">
      <c r="A294" s="1"/>
      <c r="B294" s="16" t="s">
        <v>162</v>
      </c>
      <c r="C294" s="12" t="s">
        <v>132</v>
      </c>
    </row>
    <row r="295" spans="1:3" x14ac:dyDescent="0.25">
      <c r="A295" s="1"/>
      <c r="B295" s="10"/>
      <c r="C295" s="13"/>
    </row>
    <row r="296" spans="1:3" x14ac:dyDescent="0.25">
      <c r="A296" s="1">
        <v>37</v>
      </c>
      <c r="B296" s="2" t="s">
        <v>134</v>
      </c>
      <c r="C296" s="4" t="s">
        <v>9</v>
      </c>
    </row>
    <row r="297" spans="1:3" x14ac:dyDescent="0.25">
      <c r="A297" s="1"/>
      <c r="B297" s="1" t="s">
        <v>125</v>
      </c>
      <c r="C297" s="17">
        <v>6505</v>
      </c>
    </row>
    <row r="298" spans="1:3" x14ac:dyDescent="0.25">
      <c r="A298" s="1"/>
      <c r="B298" s="1" t="s">
        <v>126</v>
      </c>
      <c r="C298" s="18">
        <v>3508</v>
      </c>
    </row>
    <row r="299" spans="1:3" x14ac:dyDescent="0.25">
      <c r="A299" s="1"/>
      <c r="B299" s="1" t="s">
        <v>127</v>
      </c>
      <c r="C299" s="18">
        <v>12505</v>
      </c>
    </row>
    <row r="300" spans="1:3" x14ac:dyDescent="0.25">
      <c r="A300" s="1"/>
      <c r="B300" s="1" t="s">
        <v>128</v>
      </c>
      <c r="C300" s="18">
        <v>17380</v>
      </c>
    </row>
    <row r="301" spans="1:3" x14ac:dyDescent="0.25">
      <c r="A301" s="1"/>
      <c r="B301" s="1" t="s">
        <v>129</v>
      </c>
      <c r="C301" s="18">
        <v>24820</v>
      </c>
    </row>
    <row r="302" spans="1:3" x14ac:dyDescent="0.25">
      <c r="A302" s="1"/>
      <c r="B302" s="1" t="s">
        <v>130</v>
      </c>
      <c r="C302" s="18">
        <v>65515</v>
      </c>
    </row>
    <row r="303" spans="1:3" x14ac:dyDescent="0.25">
      <c r="A303" s="1"/>
      <c r="B303" s="1" t="s">
        <v>131</v>
      </c>
      <c r="C303" s="18">
        <v>23810</v>
      </c>
    </row>
    <row r="304" spans="1:3" x14ac:dyDescent="0.25">
      <c r="A304" s="1"/>
      <c r="B304" s="10" t="s">
        <v>32</v>
      </c>
      <c r="C304" s="13">
        <f>SUM(C297:C303)</f>
        <v>154043</v>
      </c>
    </row>
    <row r="305" spans="1:3" x14ac:dyDescent="0.25">
      <c r="A305" s="1"/>
      <c r="B305" s="10"/>
      <c r="C305" s="13"/>
    </row>
    <row r="306" spans="1:3" x14ac:dyDescent="0.25">
      <c r="A306" s="1">
        <v>38</v>
      </c>
      <c r="B306" s="2" t="s">
        <v>133</v>
      </c>
      <c r="C306" s="4" t="s">
        <v>9</v>
      </c>
    </row>
    <row r="307" spans="1:3" x14ac:dyDescent="0.25">
      <c r="A307" s="1"/>
      <c r="B307" s="1" t="s">
        <v>124</v>
      </c>
      <c r="C307" s="17">
        <v>195</v>
      </c>
    </row>
    <row r="308" spans="1:3" x14ac:dyDescent="0.25">
      <c r="A308" s="1"/>
      <c r="B308" s="1" t="s">
        <v>10</v>
      </c>
      <c r="C308" s="18">
        <v>608</v>
      </c>
    </row>
    <row r="309" spans="1:3" x14ac:dyDescent="0.25">
      <c r="A309" s="1"/>
      <c r="B309" s="10" t="s">
        <v>32</v>
      </c>
      <c r="C309" s="13">
        <f>SUM(C306:C308)</f>
        <v>803</v>
      </c>
    </row>
    <row r="310" spans="1:3" x14ac:dyDescent="0.25">
      <c r="A310" s="1"/>
      <c r="B310" s="10"/>
      <c r="C310" s="13"/>
    </row>
    <row r="311" spans="1:3" ht="17.25" x14ac:dyDescent="0.25">
      <c r="A311" s="1"/>
      <c r="B311" s="16" t="s">
        <v>163</v>
      </c>
      <c r="C311" s="12" t="s">
        <v>132</v>
      </c>
    </row>
    <row r="312" spans="1:3" x14ac:dyDescent="0.25">
      <c r="A312" s="1"/>
      <c r="B312" s="10"/>
      <c r="C312" s="13"/>
    </row>
    <row r="313" spans="1:3" x14ac:dyDescent="0.25">
      <c r="A313" s="1">
        <v>39</v>
      </c>
      <c r="B313" s="2" t="s">
        <v>136</v>
      </c>
      <c r="C313" s="4" t="s">
        <v>9</v>
      </c>
    </row>
    <row r="314" spans="1:3" x14ac:dyDescent="0.25">
      <c r="A314" s="1"/>
      <c r="B314" s="1" t="s">
        <v>135</v>
      </c>
      <c r="C314" s="17">
        <v>1580</v>
      </c>
    </row>
    <row r="315" spans="1:3" x14ac:dyDescent="0.25">
      <c r="A315" s="1"/>
      <c r="B315" s="1"/>
      <c r="C315" s="1"/>
    </row>
    <row r="316" spans="1:3" x14ac:dyDescent="0.25">
      <c r="A316" s="1">
        <v>40</v>
      </c>
      <c r="B316" s="2" t="s">
        <v>137</v>
      </c>
      <c r="C316" s="4" t="s">
        <v>9</v>
      </c>
    </row>
    <row r="317" spans="1:3" x14ac:dyDescent="0.25">
      <c r="A317" s="1"/>
      <c r="B317" s="1" t="s">
        <v>164</v>
      </c>
      <c r="C317" s="17">
        <v>620</v>
      </c>
    </row>
    <row r="318" spans="1:3" x14ac:dyDescent="0.25">
      <c r="A318" s="1"/>
      <c r="B318" s="1"/>
      <c r="C318" s="17"/>
    </row>
    <row r="319" spans="1:3" ht="17.25" x14ac:dyDescent="0.25">
      <c r="A319" s="1"/>
      <c r="B319" s="16" t="s">
        <v>165</v>
      </c>
      <c r="C319" s="12" t="s">
        <v>166</v>
      </c>
    </row>
    <row r="320" spans="1:3" x14ac:dyDescent="0.25">
      <c r="A320" s="1"/>
      <c r="B320" s="10"/>
      <c r="C320" s="13"/>
    </row>
    <row r="321" spans="1:3" x14ac:dyDescent="0.25">
      <c r="A321" s="1">
        <v>41</v>
      </c>
      <c r="B321" s="2" t="s">
        <v>138</v>
      </c>
      <c r="C321" s="4" t="s">
        <v>9</v>
      </c>
    </row>
    <row r="322" spans="1:3" x14ac:dyDescent="0.25">
      <c r="A322" s="1"/>
      <c r="B322" s="1" t="s">
        <v>124</v>
      </c>
      <c r="C322" s="17">
        <v>85</v>
      </c>
    </row>
    <row r="323" spans="1:3" x14ac:dyDescent="0.25">
      <c r="A323" s="1"/>
      <c r="B323" s="1" t="s">
        <v>10</v>
      </c>
      <c r="C323" s="18">
        <v>2275</v>
      </c>
    </row>
    <row r="324" spans="1:3" x14ac:dyDescent="0.25">
      <c r="A324" s="1"/>
      <c r="B324" s="1" t="s">
        <v>304</v>
      </c>
      <c r="C324" s="18">
        <v>23990</v>
      </c>
    </row>
    <row r="325" spans="1:3" x14ac:dyDescent="0.25">
      <c r="A325" s="1"/>
      <c r="B325" s="1" t="s">
        <v>305</v>
      </c>
      <c r="C325" s="18">
        <v>18325</v>
      </c>
    </row>
    <row r="326" spans="1:3" x14ac:dyDescent="0.25">
      <c r="A326" s="1"/>
      <c r="B326" s="1" t="s">
        <v>306</v>
      </c>
      <c r="C326" s="18">
        <v>5115</v>
      </c>
    </row>
    <row r="327" spans="1:3" x14ac:dyDescent="0.25">
      <c r="A327" s="1"/>
      <c r="B327" s="10" t="s">
        <v>32</v>
      </c>
      <c r="C327" s="13">
        <f>SUM(C322:C326)</f>
        <v>49790</v>
      </c>
    </row>
    <row r="328" spans="1:3" x14ac:dyDescent="0.25">
      <c r="A328" s="1"/>
      <c r="B328" s="10"/>
      <c r="C328" s="13"/>
    </row>
    <row r="329" spans="1:3" ht="17.25" x14ac:dyDescent="0.25">
      <c r="A329" s="1"/>
      <c r="B329" s="16" t="s">
        <v>31</v>
      </c>
      <c r="C329" s="12" t="s">
        <v>139</v>
      </c>
    </row>
    <row r="330" spans="1:3" x14ac:dyDescent="0.25">
      <c r="A330" s="1"/>
      <c r="B330" s="1"/>
      <c r="C330" s="1"/>
    </row>
  </sheetData>
  <mergeCells count="3">
    <mergeCell ref="A1:C1"/>
    <mergeCell ref="B2:C2"/>
    <mergeCell ref="B3:C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1224-8CF0-4188-9830-DD2D703210B8}">
  <sheetPr codeName="Sheet4"/>
  <dimension ref="A1:F370"/>
  <sheetViews>
    <sheetView topLeftCell="A51" workbookViewId="0">
      <selection activeCell="C51" sqref="C51"/>
    </sheetView>
  </sheetViews>
  <sheetFormatPr defaultRowHeight="15" x14ac:dyDescent="0.25"/>
  <cols>
    <col min="2" max="2" width="80.28515625" customWidth="1"/>
    <col min="3" max="3" width="67.42578125" customWidth="1"/>
  </cols>
  <sheetData>
    <row r="1" spans="1:3" x14ac:dyDescent="0.25">
      <c r="A1" s="20" t="s">
        <v>12</v>
      </c>
      <c r="B1" s="20"/>
      <c r="C1" s="20"/>
    </row>
    <row r="2" spans="1:3" x14ac:dyDescent="0.25">
      <c r="A2" s="5" t="s">
        <v>0</v>
      </c>
      <c r="B2" s="21" t="s">
        <v>314</v>
      </c>
      <c r="C2" s="21"/>
    </row>
    <row r="3" spans="1:3" s="7" customFormat="1" x14ac:dyDescent="0.25">
      <c r="A3" s="6"/>
      <c r="B3" s="22" t="s">
        <v>89</v>
      </c>
      <c r="C3" s="23"/>
    </row>
    <row r="4" spans="1:3" x14ac:dyDescent="0.25">
      <c r="A4" s="1">
        <v>1</v>
      </c>
      <c r="B4" s="2" t="s">
        <v>324</v>
      </c>
      <c r="C4" s="1"/>
    </row>
    <row r="5" spans="1:3" x14ac:dyDescent="0.25">
      <c r="A5" s="1"/>
      <c r="B5" s="1" t="s">
        <v>4</v>
      </c>
      <c r="C5" s="1"/>
    </row>
    <row r="6" spans="1:3" ht="17.25" x14ac:dyDescent="0.25">
      <c r="A6" s="1"/>
      <c r="B6" s="1" t="s">
        <v>33</v>
      </c>
      <c r="C6" s="1" t="s">
        <v>344</v>
      </c>
    </row>
    <row r="7" spans="1:3" x14ac:dyDescent="0.25">
      <c r="A7" s="1"/>
      <c r="B7" s="1" t="s">
        <v>2</v>
      </c>
      <c r="C7" s="1" t="s">
        <v>13</v>
      </c>
    </row>
    <row r="8" spans="1:3" ht="17.25" x14ac:dyDescent="0.25">
      <c r="A8" s="1"/>
      <c r="B8" s="1" t="s">
        <v>1</v>
      </c>
      <c r="C8" s="1" t="s">
        <v>315</v>
      </c>
    </row>
    <row r="9" spans="1:3" ht="17.25" x14ac:dyDescent="0.25">
      <c r="A9" s="1"/>
      <c r="B9" s="1" t="s">
        <v>3</v>
      </c>
      <c r="C9" s="1" t="s">
        <v>319</v>
      </c>
    </row>
    <row r="10" spans="1:3" x14ac:dyDescent="0.25">
      <c r="A10" s="1"/>
      <c r="B10" s="1"/>
      <c r="C10" s="1"/>
    </row>
    <row r="11" spans="1:3" x14ac:dyDescent="0.25">
      <c r="A11" s="1"/>
      <c r="B11" s="1" t="s">
        <v>323</v>
      </c>
      <c r="C11" s="4" t="s">
        <v>9</v>
      </c>
    </row>
    <row r="12" spans="1:3" x14ac:dyDescent="0.25">
      <c r="A12" s="1"/>
      <c r="B12" s="1" t="s">
        <v>92</v>
      </c>
      <c r="C12" s="3">
        <v>740</v>
      </c>
    </row>
    <row r="13" spans="1:3" x14ac:dyDescent="0.25">
      <c r="A13" s="1"/>
      <c r="B13" s="1" t="s">
        <v>322</v>
      </c>
      <c r="C13" s="3">
        <v>1825</v>
      </c>
    </row>
    <row r="14" spans="1:3" x14ac:dyDescent="0.25">
      <c r="A14" s="1"/>
      <c r="B14" s="10" t="s">
        <v>32</v>
      </c>
      <c r="C14" s="13">
        <f>SUM(C12:C13)</f>
        <v>2565</v>
      </c>
    </row>
    <row r="15" spans="1:3" x14ac:dyDescent="0.25">
      <c r="A15" s="1"/>
      <c r="B15" s="1"/>
      <c r="C15" s="1"/>
    </row>
    <row r="16" spans="1:3" x14ac:dyDescent="0.25">
      <c r="A16" s="1">
        <v>2</v>
      </c>
      <c r="B16" s="2" t="s">
        <v>317</v>
      </c>
      <c r="C16" s="1"/>
    </row>
    <row r="17" spans="1:3" ht="17.25" x14ac:dyDescent="0.25">
      <c r="A17" s="1"/>
      <c r="B17" s="1" t="s">
        <v>7</v>
      </c>
      <c r="C17" s="1" t="s">
        <v>320</v>
      </c>
    </row>
    <row r="18" spans="1:3" x14ac:dyDescent="0.25">
      <c r="A18" s="1"/>
      <c r="B18" s="1" t="s">
        <v>2</v>
      </c>
      <c r="C18" s="1" t="s">
        <v>18</v>
      </c>
    </row>
    <row r="19" spans="1:3" ht="17.25" x14ac:dyDescent="0.25">
      <c r="A19" s="1"/>
      <c r="B19" s="1" t="s">
        <v>316</v>
      </c>
      <c r="C19" s="1" t="s">
        <v>318</v>
      </c>
    </row>
    <row r="20" spans="1:3" x14ac:dyDescent="0.25">
      <c r="A20" s="1"/>
      <c r="B20" s="1"/>
      <c r="C20" s="1"/>
    </row>
    <row r="21" spans="1:3" x14ac:dyDescent="0.25">
      <c r="A21" s="1">
        <v>3</v>
      </c>
      <c r="B21" s="2" t="s">
        <v>321</v>
      </c>
      <c r="C21" s="4" t="s">
        <v>9</v>
      </c>
    </row>
    <row r="22" spans="1:3" x14ac:dyDescent="0.25">
      <c r="A22" s="1"/>
      <c r="B22" s="1" t="s">
        <v>92</v>
      </c>
      <c r="C22" s="3">
        <v>24270</v>
      </c>
    </row>
    <row r="23" spans="1:3" x14ac:dyDescent="0.25">
      <c r="A23" s="1"/>
      <c r="B23" s="1" t="s">
        <v>322</v>
      </c>
      <c r="C23" s="3">
        <v>4709</v>
      </c>
    </row>
    <row r="24" spans="1:3" x14ac:dyDescent="0.25">
      <c r="A24" s="1"/>
      <c r="B24" s="10" t="s">
        <v>32</v>
      </c>
      <c r="C24" s="13">
        <f>SUM(C22:C23)</f>
        <v>28979</v>
      </c>
    </row>
    <row r="25" spans="1:3" x14ac:dyDescent="0.25">
      <c r="A25" s="1"/>
      <c r="B25" s="1"/>
      <c r="C25" s="1"/>
    </row>
    <row r="26" spans="1:3" x14ac:dyDescent="0.25">
      <c r="A26" s="2">
        <v>4</v>
      </c>
      <c r="B26" s="2" t="s">
        <v>326</v>
      </c>
      <c r="C26" s="3"/>
    </row>
    <row r="27" spans="1:3" x14ac:dyDescent="0.25">
      <c r="A27" s="1"/>
      <c r="B27" s="1" t="s">
        <v>327</v>
      </c>
      <c r="C27" s="3"/>
    </row>
    <row r="28" spans="1:3" ht="17.25" x14ac:dyDescent="0.25">
      <c r="A28" s="1"/>
      <c r="B28" s="1" t="s">
        <v>16</v>
      </c>
      <c r="C28" s="1" t="s">
        <v>328</v>
      </c>
    </row>
    <row r="29" spans="1:3" ht="17.25" x14ac:dyDescent="0.25">
      <c r="A29" s="1"/>
      <c r="B29" s="9" t="s">
        <v>17</v>
      </c>
      <c r="C29" s="1" t="s">
        <v>329</v>
      </c>
    </row>
    <row r="30" spans="1:3" x14ac:dyDescent="0.25">
      <c r="A30" s="1"/>
      <c r="B30" s="1"/>
      <c r="C30" s="1"/>
    </row>
    <row r="31" spans="1:3" x14ac:dyDescent="0.25">
      <c r="A31" s="1">
        <v>5</v>
      </c>
      <c r="B31" s="2" t="s">
        <v>325</v>
      </c>
      <c r="C31" s="4" t="s">
        <v>9</v>
      </c>
    </row>
    <row r="32" spans="1:3" x14ac:dyDescent="0.25">
      <c r="A32" s="1"/>
      <c r="B32" s="1" t="s">
        <v>92</v>
      </c>
      <c r="C32" s="4">
        <v>4190</v>
      </c>
    </row>
    <row r="33" spans="1:3" x14ac:dyDescent="0.25">
      <c r="A33" s="1"/>
      <c r="B33" s="1" t="s">
        <v>322</v>
      </c>
      <c r="C33" s="3">
        <v>5455</v>
      </c>
    </row>
    <row r="34" spans="1:3" x14ac:dyDescent="0.25">
      <c r="A34" s="1"/>
      <c r="B34" s="1" t="s">
        <v>330</v>
      </c>
      <c r="C34" s="3">
        <v>16625</v>
      </c>
    </row>
    <row r="35" spans="1:3" x14ac:dyDescent="0.25">
      <c r="A35" s="1"/>
      <c r="B35" s="1" t="s">
        <v>331</v>
      </c>
      <c r="C35" s="3">
        <v>2100</v>
      </c>
    </row>
    <row r="36" spans="1:3" x14ac:dyDescent="0.25">
      <c r="A36" s="1"/>
      <c r="B36" s="10" t="s">
        <v>32</v>
      </c>
      <c r="C36" s="13">
        <f>SUM(C32:C35)</f>
        <v>28370</v>
      </c>
    </row>
    <row r="37" spans="1:3" x14ac:dyDescent="0.25">
      <c r="A37" s="1"/>
      <c r="B37" s="10"/>
      <c r="C37" s="13"/>
    </row>
    <row r="38" spans="1:3" ht="17.25" x14ac:dyDescent="0.25">
      <c r="A38" s="1"/>
      <c r="B38" s="16" t="s">
        <v>30</v>
      </c>
      <c r="C38" s="9" t="s">
        <v>345</v>
      </c>
    </row>
    <row r="39" spans="1:3" x14ac:dyDescent="0.25">
      <c r="A39" s="1"/>
      <c r="B39" s="1"/>
      <c r="C39" s="1"/>
    </row>
    <row r="40" spans="1:3" x14ac:dyDescent="0.25">
      <c r="A40" s="1">
        <v>6</v>
      </c>
      <c r="B40" s="2" t="s">
        <v>332</v>
      </c>
      <c r="C40" s="4" t="s">
        <v>9</v>
      </c>
    </row>
    <row r="41" spans="1:3" x14ac:dyDescent="0.25">
      <c r="A41" s="1"/>
      <c r="B41" s="1" t="s">
        <v>105</v>
      </c>
      <c r="C41" s="3">
        <v>15378</v>
      </c>
    </row>
    <row r="42" spans="1:3" x14ac:dyDescent="0.25">
      <c r="A42" s="1"/>
      <c r="B42" s="1" t="s">
        <v>106</v>
      </c>
      <c r="C42" s="3">
        <v>19785</v>
      </c>
    </row>
    <row r="43" spans="1:3" x14ac:dyDescent="0.25">
      <c r="A43" s="1"/>
      <c r="B43" s="1" t="s">
        <v>100</v>
      </c>
      <c r="C43" s="3">
        <v>6750</v>
      </c>
    </row>
    <row r="44" spans="1:3" x14ac:dyDescent="0.25">
      <c r="A44" s="1"/>
      <c r="B44" s="10" t="s">
        <v>32</v>
      </c>
      <c r="C44" s="13">
        <f>SUM(C41:C43)</f>
        <v>41913</v>
      </c>
    </row>
    <row r="45" spans="1:3" x14ac:dyDescent="0.25">
      <c r="A45" s="1"/>
      <c r="B45" s="1"/>
      <c r="C45" s="1"/>
    </row>
    <row r="46" spans="1:3" x14ac:dyDescent="0.25">
      <c r="A46" s="2">
        <v>7</v>
      </c>
      <c r="B46" s="2" t="s">
        <v>333</v>
      </c>
      <c r="C46" s="3"/>
    </row>
    <row r="47" spans="1:3" x14ac:dyDescent="0.25">
      <c r="A47" s="1"/>
      <c r="B47" s="1" t="s">
        <v>334</v>
      </c>
      <c r="C47" s="3"/>
    </row>
    <row r="48" spans="1:3" ht="17.25" x14ac:dyDescent="0.25">
      <c r="A48" s="1"/>
      <c r="B48" s="1" t="s">
        <v>16</v>
      </c>
      <c r="C48" s="1" t="s">
        <v>336</v>
      </c>
    </row>
    <row r="49" spans="1:3" ht="17.25" x14ac:dyDescent="0.25">
      <c r="A49" s="1"/>
      <c r="B49" s="9" t="s">
        <v>17</v>
      </c>
      <c r="C49" s="1" t="s">
        <v>337</v>
      </c>
    </row>
    <row r="50" spans="1:3" x14ac:dyDescent="0.25">
      <c r="A50" s="1"/>
      <c r="B50" s="1"/>
      <c r="C50" s="1"/>
    </row>
    <row r="51" spans="1:3" x14ac:dyDescent="0.25">
      <c r="A51" s="1"/>
      <c r="B51" s="1" t="s">
        <v>335</v>
      </c>
      <c r="C51" s="3"/>
    </row>
    <row r="52" spans="1:3" ht="17.25" x14ac:dyDescent="0.25">
      <c r="A52" s="1"/>
      <c r="B52" s="1" t="s">
        <v>16</v>
      </c>
      <c r="C52" s="1" t="s">
        <v>338</v>
      </c>
    </row>
    <row r="53" spans="1:3" ht="17.25" x14ac:dyDescent="0.25">
      <c r="A53" s="1"/>
      <c r="B53" s="9" t="s">
        <v>17</v>
      </c>
      <c r="C53" s="1" t="s">
        <v>337</v>
      </c>
    </row>
    <row r="54" spans="1:3" x14ac:dyDescent="0.25">
      <c r="A54" s="1"/>
      <c r="B54" s="1"/>
      <c r="C54" s="1"/>
    </row>
    <row r="55" spans="1:3" x14ac:dyDescent="0.25">
      <c r="A55" s="1">
        <v>8</v>
      </c>
      <c r="B55" s="2" t="s">
        <v>339</v>
      </c>
      <c r="C55" s="4" t="s">
        <v>9</v>
      </c>
    </row>
    <row r="56" spans="1:3" x14ac:dyDescent="0.25">
      <c r="A56" s="1"/>
      <c r="B56" s="1" t="s">
        <v>53</v>
      </c>
      <c r="C56" s="3">
        <v>298</v>
      </c>
    </row>
    <row r="57" spans="1:3" x14ac:dyDescent="0.25">
      <c r="A57" s="1"/>
      <c r="B57" s="1" t="s">
        <v>54</v>
      </c>
      <c r="C57" s="3">
        <v>278</v>
      </c>
    </row>
    <row r="58" spans="1:3" x14ac:dyDescent="0.25">
      <c r="A58" s="1"/>
      <c r="B58" s="1" t="s">
        <v>8</v>
      </c>
      <c r="C58" s="3">
        <v>10078</v>
      </c>
    </row>
    <row r="59" spans="1:3" x14ac:dyDescent="0.25">
      <c r="A59" s="1"/>
      <c r="B59" s="1" t="s">
        <v>55</v>
      </c>
      <c r="C59" s="3">
        <v>18254</v>
      </c>
    </row>
    <row r="60" spans="1:3" x14ac:dyDescent="0.25">
      <c r="A60" s="1"/>
      <c r="B60" s="1" t="s">
        <v>56</v>
      </c>
      <c r="C60" s="3">
        <v>4298</v>
      </c>
    </row>
    <row r="61" spans="1:3" x14ac:dyDescent="0.25">
      <c r="A61" s="1"/>
      <c r="B61" s="10" t="s">
        <v>32</v>
      </c>
      <c r="C61" s="13">
        <f>SUM(C56:C60)</f>
        <v>33206</v>
      </c>
    </row>
    <row r="62" spans="1:3" x14ac:dyDescent="0.25">
      <c r="A62" s="1"/>
      <c r="B62" s="10"/>
      <c r="C62" s="13"/>
    </row>
    <row r="63" spans="1:3" ht="17.25" x14ac:dyDescent="0.25">
      <c r="A63" s="1"/>
      <c r="B63" s="16" t="s">
        <v>19</v>
      </c>
      <c r="C63" s="12" t="s">
        <v>208</v>
      </c>
    </row>
    <row r="64" spans="1:3" x14ac:dyDescent="0.25">
      <c r="A64" s="1"/>
      <c r="B64" s="1"/>
      <c r="C64" s="1"/>
    </row>
    <row r="65" spans="1:3" x14ac:dyDescent="0.25">
      <c r="A65" s="1">
        <v>9</v>
      </c>
      <c r="B65" s="2" t="s">
        <v>340</v>
      </c>
      <c r="C65" s="4" t="s">
        <v>9</v>
      </c>
    </row>
    <row r="66" spans="1:3" x14ac:dyDescent="0.25">
      <c r="A66" s="1"/>
      <c r="B66" s="1" t="s">
        <v>295</v>
      </c>
      <c r="C66" s="3">
        <v>1205</v>
      </c>
    </row>
    <row r="67" spans="1:3" x14ac:dyDescent="0.25">
      <c r="A67" s="1"/>
      <c r="B67" s="1" t="s">
        <v>296</v>
      </c>
      <c r="C67" s="3">
        <v>6815</v>
      </c>
    </row>
    <row r="68" spans="1:3" x14ac:dyDescent="0.25">
      <c r="A68" s="1"/>
      <c r="B68" s="1" t="s">
        <v>297</v>
      </c>
      <c r="C68" s="3">
        <v>11735</v>
      </c>
    </row>
    <row r="69" spans="1:3" x14ac:dyDescent="0.25">
      <c r="A69" s="1"/>
      <c r="B69" s="1" t="s">
        <v>298</v>
      </c>
      <c r="C69" s="3">
        <v>14690</v>
      </c>
    </row>
    <row r="70" spans="1:3" x14ac:dyDescent="0.25">
      <c r="A70" s="1"/>
      <c r="B70" s="1" t="s">
        <v>299</v>
      </c>
      <c r="C70" s="3">
        <v>1780</v>
      </c>
    </row>
    <row r="71" spans="1:3" x14ac:dyDescent="0.25">
      <c r="A71" s="1"/>
      <c r="B71" s="10" t="s">
        <v>32</v>
      </c>
      <c r="C71" s="13">
        <f>SUM(C66:C70)</f>
        <v>36225</v>
      </c>
    </row>
    <row r="72" spans="1:3" x14ac:dyDescent="0.25">
      <c r="A72" s="1"/>
      <c r="B72" s="1"/>
      <c r="C72" s="1"/>
    </row>
    <row r="73" spans="1:3" ht="17.25" x14ac:dyDescent="0.25">
      <c r="A73" s="1"/>
      <c r="B73" s="16" t="s">
        <v>292</v>
      </c>
      <c r="C73" s="12" t="s">
        <v>291</v>
      </c>
    </row>
    <row r="74" spans="1:3" x14ac:dyDescent="0.25">
      <c r="A74" s="1"/>
      <c r="B74" s="1"/>
      <c r="C74" s="1"/>
    </row>
    <row r="75" spans="1:3" x14ac:dyDescent="0.25">
      <c r="A75" s="1">
        <v>10</v>
      </c>
      <c r="B75" s="2" t="s">
        <v>341</v>
      </c>
      <c r="C75" s="4" t="s">
        <v>9</v>
      </c>
    </row>
    <row r="76" spans="1:3" x14ac:dyDescent="0.25">
      <c r="A76" s="1"/>
      <c r="B76" s="1" t="s">
        <v>5</v>
      </c>
      <c r="C76" s="3">
        <v>660</v>
      </c>
    </row>
    <row r="77" spans="1:3" x14ac:dyDescent="0.25">
      <c r="A77" s="1"/>
      <c r="B77" s="1" t="s">
        <v>47</v>
      </c>
      <c r="C77" s="3">
        <v>2545</v>
      </c>
    </row>
    <row r="78" spans="1:3" x14ac:dyDescent="0.25">
      <c r="A78" s="1"/>
      <c r="B78" s="1" t="s">
        <v>6</v>
      </c>
      <c r="C78" s="3">
        <v>28975</v>
      </c>
    </row>
    <row r="79" spans="1:3" x14ac:dyDescent="0.25">
      <c r="A79" s="1"/>
      <c r="B79" s="10" t="s">
        <v>32</v>
      </c>
      <c r="C79" s="13">
        <f>SUM(C76:C78)</f>
        <v>32180</v>
      </c>
    </row>
    <row r="80" spans="1:3" x14ac:dyDescent="0.25">
      <c r="A80" s="1"/>
      <c r="B80" s="10"/>
      <c r="C80" s="13"/>
    </row>
    <row r="81" spans="1:3" x14ac:dyDescent="0.25">
      <c r="A81" s="2">
        <v>11</v>
      </c>
      <c r="B81" s="2" t="s">
        <v>116</v>
      </c>
      <c r="C81" s="3"/>
    </row>
    <row r="82" spans="1:3" x14ac:dyDescent="0.25">
      <c r="A82" s="1"/>
      <c r="B82" s="1" t="s">
        <v>110</v>
      </c>
      <c r="C82" s="3"/>
    </row>
    <row r="83" spans="1:3" ht="17.25" x14ac:dyDescent="0.25">
      <c r="A83" s="1"/>
      <c r="B83" s="1" t="s">
        <v>16</v>
      </c>
      <c r="C83" s="1" t="s">
        <v>111</v>
      </c>
    </row>
    <row r="84" spans="1:3" ht="17.25" x14ac:dyDescent="0.25">
      <c r="A84" s="1"/>
      <c r="B84" s="9" t="s">
        <v>17</v>
      </c>
      <c r="C84" s="1" t="s">
        <v>112</v>
      </c>
    </row>
    <row r="85" spans="1:3" x14ac:dyDescent="0.25">
      <c r="A85" s="1"/>
      <c r="B85" s="1"/>
      <c r="C85" s="3"/>
    </row>
    <row r="86" spans="1:3" x14ac:dyDescent="0.25">
      <c r="A86" s="1"/>
      <c r="B86" s="1" t="s">
        <v>113</v>
      </c>
      <c r="C86" s="4" t="s">
        <v>9</v>
      </c>
    </row>
    <row r="87" spans="1:3" x14ac:dyDescent="0.25">
      <c r="A87" s="1"/>
      <c r="B87" s="1" t="s">
        <v>5</v>
      </c>
      <c r="C87" s="3">
        <v>5962</v>
      </c>
    </row>
    <row r="88" spans="1:3" x14ac:dyDescent="0.25">
      <c r="A88" s="1"/>
      <c r="B88" s="1" t="s">
        <v>47</v>
      </c>
      <c r="C88" s="3">
        <v>2433</v>
      </c>
    </row>
    <row r="89" spans="1:3" x14ac:dyDescent="0.25">
      <c r="A89" s="1"/>
      <c r="B89" s="1" t="s">
        <v>6</v>
      </c>
      <c r="C89" s="3">
        <v>950</v>
      </c>
    </row>
    <row r="90" spans="1:3" x14ac:dyDescent="0.25">
      <c r="A90" s="1"/>
      <c r="B90" s="1" t="s">
        <v>48</v>
      </c>
      <c r="C90" s="3">
        <v>1033</v>
      </c>
    </row>
    <row r="91" spans="1:3" x14ac:dyDescent="0.25">
      <c r="A91" s="1"/>
      <c r="B91" s="1" t="s">
        <v>49</v>
      </c>
      <c r="C91" s="3">
        <v>378</v>
      </c>
    </row>
    <row r="92" spans="1:3" x14ac:dyDescent="0.25">
      <c r="A92" s="1"/>
      <c r="B92" s="10" t="s">
        <v>32</v>
      </c>
      <c r="C92" s="13">
        <f>SUM(C87:C91)</f>
        <v>10756</v>
      </c>
    </row>
    <row r="93" spans="1:3" x14ac:dyDescent="0.25">
      <c r="A93" s="1"/>
      <c r="B93" s="10"/>
      <c r="C93" s="13"/>
    </row>
    <row r="94" spans="1:3" ht="17.25" x14ac:dyDescent="0.25">
      <c r="A94" s="1"/>
      <c r="B94" s="16" t="s">
        <v>115</v>
      </c>
      <c r="C94" s="12" t="s">
        <v>114</v>
      </c>
    </row>
    <row r="95" spans="1:3" x14ac:dyDescent="0.25">
      <c r="A95" s="1"/>
      <c r="B95" s="16"/>
      <c r="C95" s="12"/>
    </row>
    <row r="96" spans="1:3" x14ac:dyDescent="0.25">
      <c r="A96" s="1">
        <v>12</v>
      </c>
      <c r="B96" s="2" t="s">
        <v>117</v>
      </c>
      <c r="C96" s="4" t="s">
        <v>9</v>
      </c>
    </row>
    <row r="97" spans="1:3" x14ac:dyDescent="0.25">
      <c r="A97" s="1"/>
      <c r="B97" s="1" t="s">
        <v>5</v>
      </c>
      <c r="C97" s="3">
        <v>1620</v>
      </c>
    </row>
    <row r="98" spans="1:3" x14ac:dyDescent="0.25">
      <c r="A98" s="1"/>
      <c r="B98" s="10"/>
      <c r="C98" s="13"/>
    </row>
    <row r="99" spans="1:3" x14ac:dyDescent="0.25">
      <c r="A99" s="1">
        <v>13</v>
      </c>
      <c r="B99" s="2" t="s">
        <v>118</v>
      </c>
      <c r="C99" s="4" t="s">
        <v>9</v>
      </c>
    </row>
    <row r="100" spans="1:3" x14ac:dyDescent="0.25">
      <c r="A100" s="1"/>
      <c r="B100" s="1" t="s">
        <v>78</v>
      </c>
      <c r="C100" s="17">
        <v>5920</v>
      </c>
    </row>
    <row r="101" spans="1:3" x14ac:dyDescent="0.25">
      <c r="A101" s="1"/>
      <c r="B101" s="1" t="s">
        <v>29</v>
      </c>
      <c r="C101" s="18">
        <v>3833</v>
      </c>
    </row>
    <row r="102" spans="1:3" x14ac:dyDescent="0.25">
      <c r="A102" s="1"/>
      <c r="B102" s="1" t="s">
        <v>15</v>
      </c>
      <c r="C102" s="18">
        <v>7310</v>
      </c>
    </row>
    <row r="103" spans="1:3" x14ac:dyDescent="0.25">
      <c r="A103" s="1"/>
      <c r="B103" s="1" t="s">
        <v>28</v>
      </c>
      <c r="C103" s="18">
        <v>12105</v>
      </c>
    </row>
    <row r="104" spans="1:3" x14ac:dyDescent="0.25">
      <c r="A104" s="1"/>
      <c r="B104" s="10" t="s">
        <v>32</v>
      </c>
      <c r="C104" s="13">
        <f>SUM(C99:C103)</f>
        <v>29168</v>
      </c>
    </row>
    <row r="105" spans="1:3" x14ac:dyDescent="0.25">
      <c r="A105" s="1"/>
      <c r="B105" s="10"/>
      <c r="C105" s="15"/>
    </row>
    <row r="106" spans="1:3" x14ac:dyDescent="0.25">
      <c r="A106" s="2">
        <v>14</v>
      </c>
      <c r="B106" s="2" t="s">
        <v>120</v>
      </c>
      <c r="C106" s="3"/>
    </row>
    <row r="107" spans="1:3" x14ac:dyDescent="0.25">
      <c r="A107" s="1"/>
      <c r="B107" s="1" t="s">
        <v>119</v>
      </c>
      <c r="C107" s="3"/>
    </row>
    <row r="108" spans="1:3" ht="17.25" x14ac:dyDescent="0.25">
      <c r="A108" s="1"/>
      <c r="B108" s="1" t="s">
        <v>16</v>
      </c>
      <c r="C108" s="1" t="s">
        <v>160</v>
      </c>
    </row>
    <row r="109" spans="1:3" ht="17.25" x14ac:dyDescent="0.25">
      <c r="A109" s="1"/>
      <c r="B109" s="9" t="s">
        <v>17</v>
      </c>
      <c r="C109" s="1" t="s">
        <v>159</v>
      </c>
    </row>
    <row r="110" spans="1:3" x14ac:dyDescent="0.25">
      <c r="A110" s="1"/>
      <c r="B110" s="1"/>
      <c r="C110" s="3"/>
    </row>
    <row r="111" spans="1:3" x14ac:dyDescent="0.25">
      <c r="A111" s="1"/>
      <c r="B111" s="1" t="s">
        <v>121</v>
      </c>
      <c r="C111" s="4" t="s">
        <v>9</v>
      </c>
    </row>
    <row r="112" spans="1:3" x14ac:dyDescent="0.25">
      <c r="A112" s="1"/>
      <c r="B112" s="1" t="s">
        <v>78</v>
      </c>
      <c r="C112" s="3">
        <v>450</v>
      </c>
    </row>
    <row r="113" spans="1:3" x14ac:dyDescent="0.25">
      <c r="A113" s="1"/>
      <c r="B113" s="1" t="s">
        <v>29</v>
      </c>
      <c r="C113" s="3">
        <v>948</v>
      </c>
    </row>
    <row r="114" spans="1:3" x14ac:dyDescent="0.25">
      <c r="A114" s="1"/>
      <c r="B114" s="1" t="s">
        <v>15</v>
      </c>
      <c r="C114" s="3">
        <v>950</v>
      </c>
    </row>
    <row r="115" spans="1:3" x14ac:dyDescent="0.25">
      <c r="A115" s="1"/>
      <c r="B115" s="10" t="s">
        <v>32</v>
      </c>
      <c r="C115" s="13">
        <f>SUM(C112:C114)</f>
        <v>2348</v>
      </c>
    </row>
    <row r="116" spans="1:3" x14ac:dyDescent="0.25">
      <c r="A116" s="1"/>
      <c r="B116" s="10"/>
      <c r="C116" s="15"/>
    </row>
    <row r="117" spans="1:3" x14ac:dyDescent="0.25">
      <c r="A117" s="1"/>
      <c r="B117" s="1" t="s">
        <v>122</v>
      </c>
      <c r="C117" s="4" t="s">
        <v>9</v>
      </c>
    </row>
    <row r="118" spans="1:3" x14ac:dyDescent="0.25">
      <c r="A118" s="1"/>
      <c r="B118" s="1" t="s">
        <v>124</v>
      </c>
      <c r="C118" s="3">
        <v>240</v>
      </c>
    </row>
    <row r="119" spans="1:3" x14ac:dyDescent="0.25">
      <c r="A119" s="1"/>
      <c r="B119" s="1"/>
      <c r="C119" s="3"/>
    </row>
    <row r="120" spans="1:3" ht="17.25" x14ac:dyDescent="0.25">
      <c r="A120" s="1"/>
      <c r="B120" s="16" t="s">
        <v>161</v>
      </c>
      <c r="C120" s="12" t="s">
        <v>167</v>
      </c>
    </row>
    <row r="121" spans="1:3" x14ac:dyDescent="0.25">
      <c r="A121" s="1"/>
      <c r="B121" s="10"/>
      <c r="C121" s="13"/>
    </row>
    <row r="122" spans="1:3" x14ac:dyDescent="0.25">
      <c r="A122" s="1"/>
      <c r="B122" s="1" t="s">
        <v>123</v>
      </c>
      <c r="C122" s="4" t="s">
        <v>9</v>
      </c>
    </row>
    <row r="123" spans="1:3" x14ac:dyDescent="0.25">
      <c r="A123" s="1"/>
      <c r="B123" s="1" t="s">
        <v>124</v>
      </c>
      <c r="C123" s="3">
        <v>2610</v>
      </c>
    </row>
    <row r="124" spans="1:3" x14ac:dyDescent="0.25">
      <c r="A124" s="1"/>
      <c r="B124" s="1" t="s">
        <v>10</v>
      </c>
      <c r="C124" s="3">
        <v>4163</v>
      </c>
    </row>
    <row r="125" spans="1:3" x14ac:dyDescent="0.25">
      <c r="A125" s="1"/>
      <c r="B125" s="10" t="s">
        <v>32</v>
      </c>
      <c r="C125" s="13">
        <f>SUM(C123:C124)</f>
        <v>6773</v>
      </c>
    </row>
    <row r="126" spans="1:3" x14ac:dyDescent="0.25">
      <c r="A126" s="1"/>
      <c r="B126" s="10"/>
      <c r="C126" s="13"/>
    </row>
    <row r="127" spans="1:3" ht="17.25" x14ac:dyDescent="0.25">
      <c r="A127" s="1"/>
      <c r="B127" s="16" t="s">
        <v>162</v>
      </c>
      <c r="C127" s="12" t="s">
        <v>132</v>
      </c>
    </row>
    <row r="128" spans="1:3" x14ac:dyDescent="0.25">
      <c r="A128" s="1"/>
      <c r="B128" s="10"/>
      <c r="C128" s="13"/>
    </row>
    <row r="129" spans="1:3" x14ac:dyDescent="0.25">
      <c r="A129" s="1">
        <v>15</v>
      </c>
      <c r="B129" s="2" t="s">
        <v>134</v>
      </c>
      <c r="C129" s="4" t="s">
        <v>9</v>
      </c>
    </row>
    <row r="130" spans="1:3" x14ac:dyDescent="0.25">
      <c r="A130" s="1"/>
      <c r="B130" s="1" t="s">
        <v>125</v>
      </c>
      <c r="C130" s="17">
        <v>6505</v>
      </c>
    </row>
    <row r="131" spans="1:3" x14ac:dyDescent="0.25">
      <c r="A131" s="1"/>
      <c r="B131" s="1" t="s">
        <v>126</v>
      </c>
      <c r="C131" s="18">
        <v>3508</v>
      </c>
    </row>
    <row r="132" spans="1:3" x14ac:dyDescent="0.25">
      <c r="A132" s="1"/>
      <c r="B132" s="1" t="s">
        <v>127</v>
      </c>
      <c r="C132" s="18">
        <v>12505</v>
      </c>
    </row>
    <row r="133" spans="1:3" x14ac:dyDescent="0.25">
      <c r="A133" s="1"/>
      <c r="B133" s="1" t="s">
        <v>128</v>
      </c>
      <c r="C133" s="18">
        <v>17380</v>
      </c>
    </row>
    <row r="134" spans="1:3" x14ac:dyDescent="0.25">
      <c r="A134" s="1"/>
      <c r="B134" s="1" t="s">
        <v>129</v>
      </c>
      <c r="C134" s="18">
        <v>24820</v>
      </c>
    </row>
    <row r="135" spans="1:3" x14ac:dyDescent="0.25">
      <c r="A135" s="1"/>
      <c r="B135" s="1" t="s">
        <v>130</v>
      </c>
      <c r="C135" s="18">
        <v>65515</v>
      </c>
    </row>
    <row r="136" spans="1:3" x14ac:dyDescent="0.25">
      <c r="A136" s="1"/>
      <c r="B136" s="1" t="s">
        <v>131</v>
      </c>
      <c r="C136" s="18">
        <v>23810</v>
      </c>
    </row>
    <row r="137" spans="1:3" x14ac:dyDescent="0.25">
      <c r="A137" s="1"/>
      <c r="B137" s="10" t="s">
        <v>32</v>
      </c>
      <c r="C137" s="13">
        <f>SUM(C130:C136)</f>
        <v>154043</v>
      </c>
    </row>
    <row r="138" spans="1:3" x14ac:dyDescent="0.25">
      <c r="A138" s="1"/>
      <c r="B138" s="10"/>
      <c r="C138" s="13"/>
    </row>
    <row r="139" spans="1:3" x14ac:dyDescent="0.25">
      <c r="A139" s="1">
        <v>16</v>
      </c>
      <c r="B139" s="2" t="s">
        <v>133</v>
      </c>
      <c r="C139" s="4" t="s">
        <v>9</v>
      </c>
    </row>
    <row r="140" spans="1:3" x14ac:dyDescent="0.25">
      <c r="A140" s="1"/>
      <c r="B140" s="1" t="s">
        <v>124</v>
      </c>
      <c r="C140" s="17">
        <v>195</v>
      </c>
    </row>
    <row r="141" spans="1:3" x14ac:dyDescent="0.25">
      <c r="A141" s="1"/>
      <c r="B141" s="1" t="s">
        <v>10</v>
      </c>
      <c r="C141" s="18">
        <v>608</v>
      </c>
    </row>
    <row r="142" spans="1:3" x14ac:dyDescent="0.25">
      <c r="A142" s="1"/>
      <c r="B142" s="10" t="s">
        <v>32</v>
      </c>
      <c r="C142" s="13">
        <f>SUM(C139:C141)</f>
        <v>803</v>
      </c>
    </row>
    <row r="143" spans="1:3" x14ac:dyDescent="0.25">
      <c r="A143" s="1"/>
      <c r="B143" s="10"/>
      <c r="C143" s="13"/>
    </row>
    <row r="144" spans="1:3" ht="17.25" x14ac:dyDescent="0.25">
      <c r="A144" s="1"/>
      <c r="B144" s="16" t="s">
        <v>163</v>
      </c>
      <c r="C144" s="12" t="s">
        <v>132</v>
      </c>
    </row>
    <row r="145" spans="1:3" x14ac:dyDescent="0.25">
      <c r="A145" s="1"/>
      <c r="B145" s="10"/>
      <c r="C145" s="13"/>
    </row>
    <row r="146" spans="1:3" x14ac:dyDescent="0.25">
      <c r="A146" s="1">
        <v>17</v>
      </c>
      <c r="B146" s="2" t="s">
        <v>136</v>
      </c>
      <c r="C146" s="4" t="s">
        <v>9</v>
      </c>
    </row>
    <row r="147" spans="1:3" x14ac:dyDescent="0.25">
      <c r="A147" s="1"/>
      <c r="B147" s="1" t="s">
        <v>135</v>
      </c>
      <c r="C147" s="17">
        <v>1580</v>
      </c>
    </row>
    <row r="148" spans="1:3" x14ac:dyDescent="0.25">
      <c r="A148" s="1"/>
      <c r="B148" s="1"/>
      <c r="C148" s="1"/>
    </row>
    <row r="149" spans="1:3" x14ac:dyDescent="0.25">
      <c r="A149" s="1">
        <v>18</v>
      </c>
      <c r="B149" s="2" t="s">
        <v>137</v>
      </c>
      <c r="C149" s="4" t="s">
        <v>9</v>
      </c>
    </row>
    <row r="150" spans="1:3" x14ac:dyDescent="0.25">
      <c r="A150" s="1"/>
      <c r="B150" s="1" t="s">
        <v>164</v>
      </c>
      <c r="C150" s="17">
        <v>620</v>
      </c>
    </row>
    <row r="151" spans="1:3" x14ac:dyDescent="0.25">
      <c r="A151" s="1"/>
      <c r="B151" s="1"/>
      <c r="C151" s="17"/>
    </row>
    <row r="152" spans="1:3" ht="17.25" x14ac:dyDescent="0.25">
      <c r="A152" s="1"/>
      <c r="B152" s="16" t="s">
        <v>165</v>
      </c>
      <c r="C152" s="12" t="s">
        <v>166</v>
      </c>
    </row>
    <row r="153" spans="1:3" x14ac:dyDescent="0.25">
      <c r="A153" s="1"/>
      <c r="B153" s="10"/>
      <c r="C153" s="13"/>
    </row>
    <row r="154" spans="1:3" x14ac:dyDescent="0.25">
      <c r="A154" s="1">
        <v>19</v>
      </c>
      <c r="B154" s="2" t="s">
        <v>138</v>
      </c>
      <c r="C154" s="4" t="s">
        <v>9</v>
      </c>
    </row>
    <row r="155" spans="1:3" x14ac:dyDescent="0.25">
      <c r="A155" s="1"/>
      <c r="B155" s="1" t="s">
        <v>124</v>
      </c>
      <c r="C155" s="17">
        <v>85</v>
      </c>
    </row>
    <row r="156" spans="1:3" x14ac:dyDescent="0.25">
      <c r="A156" s="1"/>
      <c r="B156" s="1" t="s">
        <v>10</v>
      </c>
      <c r="C156" s="18">
        <v>2275</v>
      </c>
    </row>
    <row r="157" spans="1:3" x14ac:dyDescent="0.25">
      <c r="A157" s="1"/>
      <c r="B157" s="1" t="s">
        <v>304</v>
      </c>
      <c r="C157" s="18">
        <v>23990</v>
      </c>
    </row>
    <row r="158" spans="1:3" x14ac:dyDescent="0.25">
      <c r="A158" s="1"/>
      <c r="B158" s="1" t="s">
        <v>305</v>
      </c>
      <c r="C158" s="18">
        <v>18325</v>
      </c>
    </row>
    <row r="159" spans="1:3" x14ac:dyDescent="0.25">
      <c r="A159" s="1"/>
      <c r="B159" s="1" t="s">
        <v>306</v>
      </c>
      <c r="C159" s="18">
        <v>5115</v>
      </c>
    </row>
    <row r="160" spans="1:3" x14ac:dyDescent="0.25">
      <c r="A160" s="1"/>
      <c r="B160" s="10" t="s">
        <v>32</v>
      </c>
      <c r="C160" s="13">
        <f>SUM(C155:C159)</f>
        <v>49790</v>
      </c>
    </row>
    <row r="161" spans="1:3" x14ac:dyDescent="0.25">
      <c r="A161" s="1"/>
      <c r="B161" s="10"/>
      <c r="C161" s="13"/>
    </row>
    <row r="162" spans="1:3" ht="17.25" x14ac:dyDescent="0.25">
      <c r="A162" s="1"/>
      <c r="B162" s="16" t="s">
        <v>31</v>
      </c>
      <c r="C162" s="12" t="s">
        <v>139</v>
      </c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8"/>
    </row>
    <row r="165" spans="1:3" x14ac:dyDescent="0.25">
      <c r="A165" s="1"/>
      <c r="B165" s="22" t="s">
        <v>233</v>
      </c>
      <c r="C165" s="23"/>
    </row>
    <row r="166" spans="1:3" x14ac:dyDescent="0.25">
      <c r="A166" s="1">
        <v>1</v>
      </c>
      <c r="B166" s="2" t="s">
        <v>23</v>
      </c>
      <c r="C166" s="1"/>
    </row>
    <row r="167" spans="1:3" x14ac:dyDescent="0.25">
      <c r="A167" s="1"/>
      <c r="B167" s="2" t="s">
        <v>4</v>
      </c>
      <c r="C167" s="1"/>
    </row>
    <row r="168" spans="1:3" ht="17.25" x14ac:dyDescent="0.25">
      <c r="A168" s="1"/>
      <c r="B168" s="1" t="s">
        <v>33</v>
      </c>
      <c r="C168" s="1" t="s">
        <v>169</v>
      </c>
    </row>
    <row r="169" spans="1:3" x14ac:dyDescent="0.25">
      <c r="A169" s="1"/>
      <c r="B169" s="1" t="s">
        <v>2</v>
      </c>
      <c r="C169" s="1" t="s">
        <v>13</v>
      </c>
    </row>
    <row r="170" spans="1:3" ht="17.25" x14ac:dyDescent="0.25">
      <c r="A170" s="1"/>
      <c r="B170" s="1" t="s">
        <v>1</v>
      </c>
      <c r="C170" s="1" t="s">
        <v>179</v>
      </c>
    </row>
    <row r="171" spans="1:3" ht="17.25" x14ac:dyDescent="0.25">
      <c r="A171" s="1"/>
      <c r="B171" s="1" t="s">
        <v>3</v>
      </c>
      <c r="C171" s="1" t="s">
        <v>342</v>
      </c>
    </row>
    <row r="172" spans="1:3" x14ac:dyDescent="0.25">
      <c r="A172" s="1"/>
      <c r="B172" s="1"/>
      <c r="C172" s="1"/>
    </row>
    <row r="173" spans="1:3" x14ac:dyDescent="0.25">
      <c r="A173" s="1"/>
      <c r="B173" s="2" t="s">
        <v>26</v>
      </c>
      <c r="C173" s="4" t="s">
        <v>9</v>
      </c>
    </row>
    <row r="174" spans="1:3" x14ac:dyDescent="0.25">
      <c r="A174" s="1"/>
      <c r="B174" s="1" t="s">
        <v>173</v>
      </c>
      <c r="C174" s="3">
        <v>1330</v>
      </c>
    </row>
    <row r="175" spans="1:3" x14ac:dyDescent="0.25">
      <c r="A175" s="1"/>
      <c r="B175" s="1" t="s">
        <v>174</v>
      </c>
      <c r="C175" s="3">
        <v>194</v>
      </c>
    </row>
    <row r="176" spans="1:3" x14ac:dyDescent="0.25">
      <c r="A176" s="1"/>
      <c r="B176" s="1" t="s">
        <v>175</v>
      </c>
      <c r="C176" s="3">
        <v>340</v>
      </c>
    </row>
    <row r="177" spans="1:6" x14ac:dyDescent="0.25">
      <c r="A177" s="1"/>
      <c r="B177" s="1" t="s">
        <v>176</v>
      </c>
      <c r="C177" s="3">
        <v>480</v>
      </c>
      <c r="F177" s="11"/>
    </row>
    <row r="178" spans="1:6" ht="14.25" customHeight="1" x14ac:dyDescent="0.25">
      <c r="A178" s="1"/>
      <c r="B178" s="1" t="s">
        <v>177</v>
      </c>
      <c r="C178" s="3">
        <v>361</v>
      </c>
    </row>
    <row r="179" spans="1:6" x14ac:dyDescent="0.25">
      <c r="A179" s="1"/>
      <c r="B179" s="10" t="s">
        <v>32</v>
      </c>
      <c r="C179" s="10">
        <f>SUM(C174:C178)</f>
        <v>2705</v>
      </c>
    </row>
    <row r="180" spans="1:6" x14ac:dyDescent="0.25">
      <c r="A180" s="1"/>
      <c r="B180" s="1"/>
      <c r="C180" s="1"/>
    </row>
    <row r="181" spans="1:6" x14ac:dyDescent="0.25">
      <c r="A181" s="1">
        <v>2</v>
      </c>
      <c r="B181" s="2" t="s">
        <v>24</v>
      </c>
      <c r="C181" s="1"/>
    </row>
    <row r="182" spans="1:6" ht="17.25" x14ac:dyDescent="0.25">
      <c r="A182" s="1"/>
      <c r="B182" s="1" t="s">
        <v>34</v>
      </c>
      <c r="C182" s="1" t="s">
        <v>171</v>
      </c>
    </row>
    <row r="183" spans="1:6" x14ac:dyDescent="0.25">
      <c r="A183" s="1"/>
      <c r="B183" s="1" t="s">
        <v>2</v>
      </c>
      <c r="C183" t="s">
        <v>18</v>
      </c>
    </row>
    <row r="184" spans="1:6" ht="17.25" x14ac:dyDescent="0.25">
      <c r="A184" s="1"/>
      <c r="B184" s="1" t="s">
        <v>16</v>
      </c>
      <c r="C184" s="1" t="s">
        <v>178</v>
      </c>
    </row>
    <row r="185" spans="1:6" ht="17.25" x14ac:dyDescent="0.25">
      <c r="A185" s="1"/>
      <c r="B185" s="1" t="s">
        <v>37</v>
      </c>
      <c r="C185" s="1" t="s">
        <v>172</v>
      </c>
    </row>
    <row r="186" spans="1:6" x14ac:dyDescent="0.25">
      <c r="A186" s="1"/>
      <c r="B186" s="1"/>
      <c r="C186" s="1"/>
    </row>
    <row r="187" spans="1:6" x14ac:dyDescent="0.25">
      <c r="A187" s="1"/>
      <c r="B187" s="1" t="s">
        <v>35</v>
      </c>
      <c r="C187" s="4" t="s">
        <v>9</v>
      </c>
    </row>
    <row r="188" spans="1:6" x14ac:dyDescent="0.25">
      <c r="A188" s="1"/>
      <c r="B188" s="1" t="s">
        <v>173</v>
      </c>
      <c r="C188" s="3">
        <v>2145</v>
      </c>
    </row>
    <row r="189" spans="1:6" x14ac:dyDescent="0.25">
      <c r="A189" s="1"/>
      <c r="B189" s="1" t="s">
        <v>174</v>
      </c>
      <c r="C189" s="3">
        <v>1165</v>
      </c>
    </row>
    <row r="190" spans="1:6" x14ac:dyDescent="0.25">
      <c r="A190" s="1"/>
      <c r="B190" s="1" t="s">
        <v>175</v>
      </c>
      <c r="C190" s="3">
        <v>4365</v>
      </c>
    </row>
    <row r="191" spans="1:6" x14ac:dyDescent="0.25">
      <c r="A191" s="1"/>
      <c r="B191" s="1" t="s">
        <v>176</v>
      </c>
      <c r="C191" s="3">
        <v>1230</v>
      </c>
    </row>
    <row r="192" spans="1:6" x14ac:dyDescent="0.25">
      <c r="A192" s="1"/>
      <c r="B192" s="1" t="s">
        <v>177</v>
      </c>
      <c r="C192" s="3">
        <v>4520</v>
      </c>
    </row>
    <row r="193" spans="1:3" x14ac:dyDescent="0.25">
      <c r="A193" s="1"/>
      <c r="B193" s="10" t="s">
        <v>32</v>
      </c>
      <c r="C193" s="10">
        <f>SUM(C188:C192)</f>
        <v>13425</v>
      </c>
    </row>
    <row r="194" spans="1:3" x14ac:dyDescent="0.25">
      <c r="A194" s="1"/>
      <c r="B194" s="10"/>
      <c r="C194" s="10"/>
    </row>
    <row r="195" spans="1:3" x14ac:dyDescent="0.25">
      <c r="A195" s="1">
        <v>3</v>
      </c>
      <c r="B195" s="12" t="s">
        <v>36</v>
      </c>
      <c r="C195" s="10"/>
    </row>
    <row r="196" spans="1:3" x14ac:dyDescent="0.25">
      <c r="A196" s="1"/>
      <c r="B196" s="12" t="s">
        <v>38</v>
      </c>
      <c r="C196" s="10"/>
    </row>
    <row r="197" spans="1:3" ht="17.25" x14ac:dyDescent="0.25">
      <c r="A197" s="1"/>
      <c r="B197" s="1" t="s">
        <v>16</v>
      </c>
      <c r="C197" s="1" t="s">
        <v>180</v>
      </c>
    </row>
    <row r="198" spans="1:3" ht="17.25" x14ac:dyDescent="0.25">
      <c r="A198" s="1"/>
      <c r="B198" s="9" t="s">
        <v>17</v>
      </c>
      <c r="C198" s="1" t="s">
        <v>181</v>
      </c>
    </row>
    <row r="199" spans="1:3" x14ac:dyDescent="0.25">
      <c r="A199" s="1"/>
      <c r="B199" s="4"/>
      <c r="C199" s="4"/>
    </row>
    <row r="200" spans="1:3" x14ac:dyDescent="0.25">
      <c r="A200" s="1"/>
      <c r="B200" s="12" t="s">
        <v>146</v>
      </c>
      <c r="C200" s="4" t="s">
        <v>9</v>
      </c>
    </row>
    <row r="201" spans="1:3" x14ac:dyDescent="0.25">
      <c r="A201" s="1"/>
      <c r="B201" s="1" t="s">
        <v>173</v>
      </c>
      <c r="C201" s="3">
        <v>4598</v>
      </c>
    </row>
    <row r="202" spans="1:3" x14ac:dyDescent="0.25">
      <c r="A202" s="1"/>
      <c r="B202" s="1" t="s">
        <v>174</v>
      </c>
      <c r="C202" s="3">
        <v>10408</v>
      </c>
    </row>
    <row r="203" spans="1:3" x14ac:dyDescent="0.25">
      <c r="A203" s="1"/>
      <c r="B203" s="1" t="s">
        <v>175</v>
      </c>
      <c r="C203" s="3">
        <v>8785</v>
      </c>
    </row>
    <row r="204" spans="1:3" x14ac:dyDescent="0.25">
      <c r="A204" s="1"/>
      <c r="B204" s="1" t="s">
        <v>176</v>
      </c>
      <c r="C204" s="3">
        <v>1475</v>
      </c>
    </row>
    <row r="205" spans="1:3" x14ac:dyDescent="0.25">
      <c r="A205" s="1"/>
      <c r="B205" s="1" t="s">
        <v>177</v>
      </c>
      <c r="C205" s="3">
        <v>590</v>
      </c>
    </row>
    <row r="206" spans="1:3" x14ac:dyDescent="0.25">
      <c r="A206" s="1"/>
      <c r="B206" s="10" t="s">
        <v>32</v>
      </c>
      <c r="C206" s="10">
        <f>SUM(C201:C205)</f>
        <v>25856</v>
      </c>
    </row>
    <row r="207" spans="1:3" x14ac:dyDescent="0.25">
      <c r="A207" s="1"/>
      <c r="B207" s="4"/>
      <c r="C207" s="4"/>
    </row>
    <row r="208" spans="1:3" x14ac:dyDescent="0.25">
      <c r="A208" s="1">
        <v>4</v>
      </c>
      <c r="B208" s="12" t="s">
        <v>39</v>
      </c>
      <c r="C208" s="10"/>
    </row>
    <row r="209" spans="1:3" x14ac:dyDescent="0.25">
      <c r="A209" s="1"/>
      <c r="B209" s="12" t="s">
        <v>40</v>
      </c>
      <c r="C209" s="10"/>
    </row>
    <row r="210" spans="1:3" ht="17.25" x14ac:dyDescent="0.25">
      <c r="A210" s="1"/>
      <c r="B210" s="1" t="s">
        <v>16</v>
      </c>
      <c r="C210" s="1" t="s">
        <v>182</v>
      </c>
    </row>
    <row r="211" spans="1:3" ht="17.25" x14ac:dyDescent="0.25">
      <c r="A211" s="1"/>
      <c r="B211" s="9" t="s">
        <v>17</v>
      </c>
      <c r="C211" s="1" t="s">
        <v>181</v>
      </c>
    </row>
    <row r="212" spans="1:3" x14ac:dyDescent="0.25">
      <c r="A212" s="1"/>
      <c r="B212" s="4"/>
      <c r="C212" s="4"/>
    </row>
    <row r="213" spans="1:3" x14ac:dyDescent="0.25">
      <c r="A213" s="1"/>
      <c r="B213" s="12" t="s">
        <v>41</v>
      </c>
      <c r="C213" s="4" t="s">
        <v>9</v>
      </c>
    </row>
    <row r="214" spans="1:3" x14ac:dyDescent="0.25">
      <c r="A214" s="1"/>
      <c r="B214" s="1" t="s">
        <v>173</v>
      </c>
      <c r="C214" s="3">
        <v>1585</v>
      </c>
    </row>
    <row r="215" spans="1:3" x14ac:dyDescent="0.25">
      <c r="A215" s="1"/>
      <c r="B215" s="1" t="s">
        <v>174</v>
      </c>
      <c r="C215" s="3">
        <v>14955</v>
      </c>
    </row>
    <row r="216" spans="1:3" x14ac:dyDescent="0.25">
      <c r="A216" s="1"/>
      <c r="B216" s="1" t="s">
        <v>175</v>
      </c>
      <c r="C216" s="3">
        <v>18780</v>
      </c>
    </row>
    <row r="217" spans="1:3" x14ac:dyDescent="0.25">
      <c r="A217" s="1"/>
      <c r="B217" s="1" t="s">
        <v>176</v>
      </c>
      <c r="C217" s="3">
        <v>12210</v>
      </c>
    </row>
    <row r="218" spans="1:3" x14ac:dyDescent="0.25">
      <c r="A218" s="1"/>
      <c r="B218" s="10" t="s">
        <v>32</v>
      </c>
      <c r="C218" s="10">
        <f>SUM(C214:C217)</f>
        <v>47530</v>
      </c>
    </row>
    <row r="219" spans="1:3" x14ac:dyDescent="0.25">
      <c r="A219" s="1"/>
      <c r="B219" s="10"/>
      <c r="C219" s="10"/>
    </row>
    <row r="220" spans="1:3" x14ac:dyDescent="0.25">
      <c r="A220" s="1">
        <v>5</v>
      </c>
      <c r="B220" s="12" t="s">
        <v>42</v>
      </c>
      <c r="C220" s="10"/>
    </row>
    <row r="221" spans="1:3" x14ac:dyDescent="0.25">
      <c r="A221" s="1"/>
      <c r="B221" s="12" t="s">
        <v>147</v>
      </c>
      <c r="C221" s="10"/>
    </row>
    <row r="222" spans="1:3" ht="17.25" x14ac:dyDescent="0.25">
      <c r="A222" s="1"/>
      <c r="B222" s="1" t="s">
        <v>16</v>
      </c>
      <c r="C222" s="1" t="s">
        <v>183</v>
      </c>
    </row>
    <row r="223" spans="1:3" ht="17.25" x14ac:dyDescent="0.25">
      <c r="A223" s="1"/>
      <c r="B223" s="9" t="s">
        <v>17</v>
      </c>
      <c r="C223" s="1" t="s">
        <v>181</v>
      </c>
    </row>
    <row r="224" spans="1:3" x14ac:dyDescent="0.25">
      <c r="A224" s="1"/>
      <c r="B224" s="4"/>
      <c r="C224" s="4"/>
    </row>
    <row r="225" spans="1:3" x14ac:dyDescent="0.25">
      <c r="A225" s="1"/>
      <c r="B225" s="12" t="s">
        <v>148</v>
      </c>
      <c r="C225" s="4" t="s">
        <v>9</v>
      </c>
    </row>
    <row r="226" spans="1:3" x14ac:dyDescent="0.25">
      <c r="A226" s="1"/>
      <c r="B226" s="1" t="s">
        <v>173</v>
      </c>
      <c r="C226" s="3">
        <v>320</v>
      </c>
    </row>
    <row r="227" spans="1:3" x14ac:dyDescent="0.25">
      <c r="A227" s="1"/>
      <c r="B227" s="1" t="s">
        <v>174</v>
      </c>
      <c r="C227" s="3">
        <v>190</v>
      </c>
    </row>
    <row r="228" spans="1:3" x14ac:dyDescent="0.25">
      <c r="A228" s="1"/>
      <c r="B228" s="1" t="s">
        <v>175</v>
      </c>
      <c r="C228" s="3">
        <v>485</v>
      </c>
    </row>
    <row r="229" spans="1:3" x14ac:dyDescent="0.25">
      <c r="A229" s="1"/>
      <c r="B229" s="10" t="s">
        <v>32</v>
      </c>
      <c r="C229" s="10">
        <f>SUM(C226:C228)</f>
        <v>995</v>
      </c>
    </row>
    <row r="230" spans="1:3" x14ac:dyDescent="0.25">
      <c r="A230" s="1"/>
      <c r="B230" s="1"/>
      <c r="C230" s="1"/>
    </row>
    <row r="231" spans="1:3" ht="17.25" x14ac:dyDescent="0.25">
      <c r="A231" s="1"/>
      <c r="B231" s="2" t="s">
        <v>43</v>
      </c>
      <c r="C231" s="9" t="s">
        <v>184</v>
      </c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9"/>
    </row>
    <row r="234" spans="1:3" x14ac:dyDescent="0.25">
      <c r="A234" s="1">
        <v>6</v>
      </c>
      <c r="B234" s="2" t="s">
        <v>46</v>
      </c>
      <c r="C234" s="4" t="s">
        <v>9</v>
      </c>
    </row>
    <row r="235" spans="1:3" x14ac:dyDescent="0.25">
      <c r="A235" s="1"/>
      <c r="B235" s="1" t="s">
        <v>173</v>
      </c>
      <c r="C235" s="3">
        <v>285</v>
      </c>
    </row>
    <row r="236" spans="1:3" x14ac:dyDescent="0.25">
      <c r="A236" s="1"/>
      <c r="B236" s="1" t="s">
        <v>174</v>
      </c>
      <c r="C236" s="3">
        <v>180</v>
      </c>
    </row>
    <row r="237" spans="1:3" x14ac:dyDescent="0.25">
      <c r="A237" s="1"/>
      <c r="B237" s="1" t="s">
        <v>175</v>
      </c>
      <c r="C237" s="3">
        <v>418</v>
      </c>
    </row>
    <row r="238" spans="1:3" x14ac:dyDescent="0.25">
      <c r="A238" s="1"/>
      <c r="B238" s="10" t="s">
        <v>32</v>
      </c>
      <c r="C238" s="10">
        <f>SUM(C235:C237)</f>
        <v>883</v>
      </c>
    </row>
    <row r="239" spans="1:3" x14ac:dyDescent="0.25">
      <c r="A239" s="1"/>
      <c r="B239" s="1"/>
      <c r="C239" s="3"/>
    </row>
    <row r="240" spans="1:3" x14ac:dyDescent="0.25">
      <c r="A240" s="1">
        <v>7</v>
      </c>
      <c r="B240" s="2" t="s">
        <v>45</v>
      </c>
      <c r="C240" s="4" t="s">
        <v>9</v>
      </c>
    </row>
    <row r="241" spans="1:3" x14ac:dyDescent="0.25">
      <c r="A241" s="1"/>
      <c r="B241" s="1" t="s">
        <v>185</v>
      </c>
      <c r="C241" s="3">
        <v>730</v>
      </c>
    </row>
    <row r="242" spans="1:3" x14ac:dyDescent="0.25">
      <c r="A242" s="1"/>
      <c r="B242" s="1" t="s">
        <v>186</v>
      </c>
      <c r="C242" s="3">
        <v>1795</v>
      </c>
    </row>
    <row r="243" spans="1:3" x14ac:dyDescent="0.25">
      <c r="A243" s="1"/>
      <c r="B243" s="10" t="s">
        <v>32</v>
      </c>
      <c r="C243" s="10">
        <f>SUM(C240:C242)</f>
        <v>2525</v>
      </c>
    </row>
    <row r="244" spans="1:3" x14ac:dyDescent="0.25">
      <c r="A244" s="1"/>
      <c r="B244" s="1"/>
      <c r="C244" s="1"/>
    </row>
    <row r="245" spans="1:3" x14ac:dyDescent="0.25">
      <c r="A245" s="1">
        <v>8</v>
      </c>
      <c r="B245" s="2" t="s">
        <v>58</v>
      </c>
      <c r="C245" s="4" t="s">
        <v>9</v>
      </c>
    </row>
    <row r="246" spans="1:3" x14ac:dyDescent="0.25">
      <c r="A246" s="1"/>
      <c r="B246" s="1" t="s">
        <v>6</v>
      </c>
      <c r="C246" s="3">
        <v>19109</v>
      </c>
    </row>
    <row r="247" spans="1:3" x14ac:dyDescent="0.25">
      <c r="A247" s="1"/>
      <c r="B247" s="1" t="s">
        <v>48</v>
      </c>
      <c r="C247" s="3">
        <v>7420</v>
      </c>
    </row>
    <row r="248" spans="1:3" x14ac:dyDescent="0.25">
      <c r="A248" s="1"/>
      <c r="B248" s="1" t="s">
        <v>49</v>
      </c>
      <c r="C248" s="3">
        <v>7430</v>
      </c>
    </row>
    <row r="249" spans="1:3" x14ac:dyDescent="0.25">
      <c r="A249" s="1"/>
      <c r="B249" s="1" t="s">
        <v>50</v>
      </c>
      <c r="C249" s="3">
        <v>20560</v>
      </c>
    </row>
    <row r="250" spans="1:3" x14ac:dyDescent="0.25">
      <c r="A250" s="1"/>
      <c r="B250" s="1" t="s">
        <v>51</v>
      </c>
      <c r="C250" s="3">
        <v>23930</v>
      </c>
    </row>
    <row r="251" spans="1:3" x14ac:dyDescent="0.25">
      <c r="A251" s="1"/>
      <c r="B251" s="10" t="s">
        <v>32</v>
      </c>
      <c r="C251" s="10">
        <f>SUM(C246:C250)</f>
        <v>78449</v>
      </c>
    </row>
    <row r="252" spans="1:3" x14ac:dyDescent="0.25">
      <c r="A252" s="1"/>
      <c r="B252" s="1"/>
      <c r="C252" s="1"/>
    </row>
    <row r="253" spans="1:3" ht="17.25" x14ac:dyDescent="0.25">
      <c r="A253" s="1"/>
      <c r="B253" s="2" t="s">
        <v>149</v>
      </c>
      <c r="C253" s="12" t="s">
        <v>150</v>
      </c>
    </row>
    <row r="254" spans="1:3" x14ac:dyDescent="0.25">
      <c r="A254" s="1"/>
      <c r="B254" s="1"/>
      <c r="C254" s="1"/>
    </row>
    <row r="255" spans="1:3" x14ac:dyDescent="0.25">
      <c r="A255" s="1">
        <v>9</v>
      </c>
      <c r="B255" s="2" t="s">
        <v>151</v>
      </c>
      <c r="C255" s="4" t="s">
        <v>9</v>
      </c>
    </row>
    <row r="256" spans="1:3" x14ac:dyDescent="0.25">
      <c r="A256" s="1"/>
      <c r="B256" s="1" t="s">
        <v>187</v>
      </c>
      <c r="C256" s="8">
        <v>25970</v>
      </c>
    </row>
    <row r="257" spans="1:3" ht="17.25" x14ac:dyDescent="0.25">
      <c r="A257" s="1"/>
      <c r="B257" s="2" t="s">
        <v>25</v>
      </c>
      <c r="C257" s="12" t="s">
        <v>155</v>
      </c>
    </row>
    <row r="258" spans="1:3" x14ac:dyDescent="0.25">
      <c r="A258" s="1"/>
      <c r="B258" s="1"/>
      <c r="C258" s="1"/>
    </row>
    <row r="259" spans="1:3" x14ac:dyDescent="0.25">
      <c r="A259" s="1">
        <v>10</v>
      </c>
      <c r="B259" s="2" t="s">
        <v>158</v>
      </c>
      <c r="C259" s="4" t="s">
        <v>9</v>
      </c>
    </row>
    <row r="260" spans="1:3" x14ac:dyDescent="0.25">
      <c r="A260" s="1"/>
      <c r="B260" s="1" t="s">
        <v>187</v>
      </c>
      <c r="C260" s="3">
        <v>15040</v>
      </c>
    </row>
    <row r="261" spans="1:3" ht="14.25" customHeight="1" x14ac:dyDescent="0.25">
      <c r="A261" s="1"/>
      <c r="B261" s="1"/>
      <c r="C261" s="3"/>
    </row>
    <row r="262" spans="1:3" x14ac:dyDescent="0.25">
      <c r="A262" s="2">
        <v>11</v>
      </c>
      <c r="B262" s="2" t="s">
        <v>194</v>
      </c>
      <c r="C262" s="4" t="s">
        <v>9</v>
      </c>
    </row>
    <row r="263" spans="1:3" x14ac:dyDescent="0.25">
      <c r="A263" s="1"/>
      <c r="B263" s="1" t="s">
        <v>53</v>
      </c>
      <c r="C263" s="3">
        <v>713</v>
      </c>
    </row>
    <row r="264" spans="1:3" x14ac:dyDescent="0.25">
      <c r="A264" s="1"/>
      <c r="B264" s="1" t="s">
        <v>54</v>
      </c>
      <c r="C264" s="3">
        <v>2371</v>
      </c>
    </row>
    <row r="265" spans="1:3" x14ac:dyDescent="0.25">
      <c r="A265" s="1"/>
      <c r="B265" s="1" t="s">
        <v>8</v>
      </c>
      <c r="C265" s="3">
        <v>1634</v>
      </c>
    </row>
    <row r="266" spans="1:3" x14ac:dyDescent="0.25">
      <c r="A266" s="1"/>
      <c r="B266" s="1" t="s">
        <v>55</v>
      </c>
      <c r="C266" s="3">
        <v>1317</v>
      </c>
    </row>
    <row r="267" spans="1:3" x14ac:dyDescent="0.25">
      <c r="A267" s="1"/>
      <c r="B267" s="1" t="s">
        <v>56</v>
      </c>
      <c r="C267" s="3">
        <v>14262</v>
      </c>
    </row>
    <row r="268" spans="1:3" x14ac:dyDescent="0.25">
      <c r="A268" s="1"/>
      <c r="B268" s="10" t="s">
        <v>32</v>
      </c>
      <c r="C268" s="10">
        <f>SUM(C263:C267)</f>
        <v>20297</v>
      </c>
    </row>
    <row r="269" spans="1:3" x14ac:dyDescent="0.25">
      <c r="A269" s="1"/>
      <c r="B269" s="1"/>
      <c r="C269" s="3"/>
    </row>
    <row r="270" spans="1:3" x14ac:dyDescent="0.25">
      <c r="A270" s="2">
        <v>12</v>
      </c>
      <c r="B270" s="2" t="s">
        <v>153</v>
      </c>
      <c r="C270" s="3"/>
    </row>
    <row r="271" spans="1:3" x14ac:dyDescent="0.25">
      <c r="A271" s="1"/>
      <c r="B271" s="1" t="s">
        <v>65</v>
      </c>
      <c r="C271" s="3"/>
    </row>
    <row r="272" spans="1:3" ht="17.25" x14ac:dyDescent="0.25">
      <c r="A272" s="1"/>
      <c r="B272" s="1" t="s">
        <v>16</v>
      </c>
      <c r="C272" s="1" t="s">
        <v>156</v>
      </c>
    </row>
    <row r="273" spans="1:3" ht="17.25" x14ac:dyDescent="0.25">
      <c r="A273" s="1"/>
      <c r="B273" s="9" t="s">
        <v>17</v>
      </c>
      <c r="C273" s="1" t="s">
        <v>52</v>
      </c>
    </row>
    <row r="274" spans="1:3" x14ac:dyDescent="0.25">
      <c r="A274" s="1"/>
      <c r="B274" s="1"/>
      <c r="C274" s="3"/>
    </row>
    <row r="275" spans="1:3" x14ac:dyDescent="0.25">
      <c r="A275" s="1"/>
      <c r="B275" s="1" t="s">
        <v>154</v>
      </c>
      <c r="C275" s="4" t="s">
        <v>9</v>
      </c>
    </row>
    <row r="276" spans="1:3" x14ac:dyDescent="0.25">
      <c r="A276" s="1"/>
      <c r="B276" s="1" t="s">
        <v>53</v>
      </c>
      <c r="C276" s="3">
        <v>745</v>
      </c>
    </row>
    <row r="277" spans="1:3" x14ac:dyDescent="0.25">
      <c r="A277" s="1"/>
      <c r="B277" s="1"/>
      <c r="C277" s="3"/>
    </row>
    <row r="278" spans="1:3" ht="17.25" x14ac:dyDescent="0.25">
      <c r="A278" s="1"/>
      <c r="B278" s="2" t="s">
        <v>157</v>
      </c>
      <c r="C278" s="12" t="s">
        <v>76</v>
      </c>
    </row>
    <row r="279" spans="1:3" x14ac:dyDescent="0.25">
      <c r="A279" s="1"/>
      <c r="B279" s="1"/>
      <c r="C279" s="3"/>
    </row>
    <row r="280" spans="1:3" x14ac:dyDescent="0.25">
      <c r="A280" s="1">
        <v>13</v>
      </c>
      <c r="B280" s="2" t="s">
        <v>192</v>
      </c>
      <c r="C280" s="4" t="s">
        <v>9</v>
      </c>
    </row>
    <row r="281" spans="1:3" x14ac:dyDescent="0.25">
      <c r="A281" s="1"/>
      <c r="B281" s="1" t="s">
        <v>188</v>
      </c>
      <c r="C281" s="3">
        <v>11628</v>
      </c>
    </row>
    <row r="282" spans="1:3" x14ac:dyDescent="0.25">
      <c r="A282" s="1"/>
      <c r="B282" s="1" t="s">
        <v>189</v>
      </c>
      <c r="C282" s="3">
        <v>22559</v>
      </c>
    </row>
    <row r="283" spans="1:3" x14ac:dyDescent="0.25">
      <c r="A283" s="1"/>
      <c r="B283" s="1" t="s">
        <v>190</v>
      </c>
      <c r="C283" s="3">
        <v>13285</v>
      </c>
    </row>
    <row r="284" spans="1:3" x14ac:dyDescent="0.25">
      <c r="A284" s="1"/>
      <c r="B284" s="1" t="s">
        <v>191</v>
      </c>
      <c r="C284" s="3">
        <v>460</v>
      </c>
    </row>
    <row r="285" spans="1:3" x14ac:dyDescent="0.25">
      <c r="A285" s="1"/>
      <c r="B285" s="10" t="s">
        <v>32</v>
      </c>
      <c r="C285" s="10">
        <f>SUM(C281:C284)</f>
        <v>47932</v>
      </c>
    </row>
    <row r="286" spans="1:3" x14ac:dyDescent="0.25">
      <c r="A286" s="1"/>
      <c r="B286" s="1"/>
      <c r="C286" s="3"/>
    </row>
    <row r="287" spans="1:3" x14ac:dyDescent="0.25">
      <c r="A287" s="1">
        <v>14</v>
      </c>
      <c r="B287" s="2" t="s">
        <v>193</v>
      </c>
      <c r="C287" s="4" t="s">
        <v>9</v>
      </c>
    </row>
    <row r="288" spans="1:3" x14ac:dyDescent="0.25">
      <c r="A288" s="1"/>
      <c r="B288" s="1" t="s">
        <v>8</v>
      </c>
      <c r="C288" s="3">
        <v>130</v>
      </c>
    </row>
    <row r="289" spans="1:3" x14ac:dyDescent="0.25">
      <c r="A289" s="1"/>
      <c r="B289" s="1" t="s">
        <v>55</v>
      </c>
      <c r="C289" s="3">
        <v>135</v>
      </c>
    </row>
    <row r="290" spans="1:3" x14ac:dyDescent="0.25">
      <c r="A290" s="1"/>
      <c r="B290" s="1" t="s">
        <v>56</v>
      </c>
      <c r="C290" s="3">
        <v>395</v>
      </c>
    </row>
    <row r="291" spans="1:3" x14ac:dyDescent="0.25">
      <c r="A291" s="1"/>
      <c r="B291" s="10" t="s">
        <v>32</v>
      </c>
      <c r="C291" s="10">
        <f>SUM(C288:C290)</f>
        <v>660</v>
      </c>
    </row>
    <row r="292" spans="1:3" x14ac:dyDescent="0.25">
      <c r="A292" s="1"/>
      <c r="B292" s="1"/>
      <c r="C292" s="3"/>
    </row>
    <row r="293" spans="1:3" x14ac:dyDescent="0.25">
      <c r="A293" s="1">
        <v>15</v>
      </c>
      <c r="B293" s="2" t="s">
        <v>197</v>
      </c>
      <c r="C293" s="4" t="s">
        <v>9</v>
      </c>
    </row>
    <row r="294" spans="1:3" x14ac:dyDescent="0.25">
      <c r="A294" s="1"/>
      <c r="B294" s="1" t="s">
        <v>63</v>
      </c>
      <c r="C294" s="3">
        <v>898</v>
      </c>
    </row>
    <row r="295" spans="1:3" x14ac:dyDescent="0.25">
      <c r="A295" s="1"/>
      <c r="B295" s="1" t="s">
        <v>27</v>
      </c>
      <c r="C295" s="3">
        <v>21965</v>
      </c>
    </row>
    <row r="296" spans="1:3" x14ac:dyDescent="0.25">
      <c r="A296" s="1"/>
      <c r="B296" s="1" t="s">
        <v>198</v>
      </c>
      <c r="C296" s="3">
        <v>12650</v>
      </c>
    </row>
    <row r="297" spans="1:3" x14ac:dyDescent="0.25">
      <c r="A297" s="1"/>
      <c r="B297" s="1" t="s">
        <v>199</v>
      </c>
      <c r="C297" s="3">
        <v>18118</v>
      </c>
    </row>
    <row r="298" spans="1:3" x14ac:dyDescent="0.25">
      <c r="A298" s="1"/>
      <c r="B298" s="1" t="s">
        <v>200</v>
      </c>
      <c r="C298" s="3">
        <v>620</v>
      </c>
    </row>
    <row r="299" spans="1:3" x14ac:dyDescent="0.25">
      <c r="A299" s="1"/>
      <c r="B299" s="10" t="s">
        <v>32</v>
      </c>
      <c r="C299" s="10">
        <f>SUM(C294:C298)</f>
        <v>54251</v>
      </c>
    </row>
    <row r="300" spans="1:3" x14ac:dyDescent="0.25">
      <c r="A300" s="1"/>
      <c r="B300" s="1"/>
      <c r="C300" s="3"/>
    </row>
    <row r="301" spans="1:3" x14ac:dyDescent="0.25">
      <c r="A301" s="1">
        <v>16</v>
      </c>
      <c r="B301" s="2" t="s">
        <v>201</v>
      </c>
      <c r="C301" s="4" t="s">
        <v>9</v>
      </c>
    </row>
    <row r="302" spans="1:3" x14ac:dyDescent="0.25">
      <c r="A302" s="1"/>
      <c r="B302" s="1" t="s">
        <v>195</v>
      </c>
      <c r="C302" s="3">
        <v>4545</v>
      </c>
    </row>
    <row r="303" spans="1:3" x14ac:dyDescent="0.25">
      <c r="A303" s="1"/>
      <c r="B303" s="1" t="s">
        <v>196</v>
      </c>
      <c r="C303" s="3">
        <v>1960</v>
      </c>
    </row>
    <row r="304" spans="1:3" x14ac:dyDescent="0.25">
      <c r="A304" s="1"/>
      <c r="B304" s="1" t="s">
        <v>202</v>
      </c>
      <c r="C304" s="3">
        <v>1230</v>
      </c>
    </row>
    <row r="305" spans="1:3" x14ac:dyDescent="0.25">
      <c r="A305" s="1"/>
      <c r="B305" s="10" t="s">
        <v>32</v>
      </c>
      <c r="C305" s="10">
        <f>SUM(C302:C304)</f>
        <v>7735</v>
      </c>
    </row>
    <row r="306" spans="1:3" x14ac:dyDescent="0.25">
      <c r="A306" s="1"/>
      <c r="B306" s="1"/>
      <c r="C306" s="1"/>
    </row>
    <row r="307" spans="1:3" ht="17.25" x14ac:dyDescent="0.25">
      <c r="A307" s="1"/>
      <c r="B307" s="2" t="s">
        <v>204</v>
      </c>
      <c r="C307" s="12" t="s">
        <v>205</v>
      </c>
    </row>
    <row r="308" spans="1:3" x14ac:dyDescent="0.25">
      <c r="A308" s="1"/>
      <c r="B308" s="1"/>
      <c r="C308" s="1"/>
    </row>
    <row r="309" spans="1:3" x14ac:dyDescent="0.25">
      <c r="A309" s="1">
        <v>17</v>
      </c>
      <c r="B309" s="2" t="s">
        <v>206</v>
      </c>
      <c r="C309" s="4" t="s">
        <v>9</v>
      </c>
    </row>
    <row r="310" spans="1:3" x14ac:dyDescent="0.25">
      <c r="A310" s="1"/>
      <c r="B310" s="1" t="s">
        <v>53</v>
      </c>
      <c r="C310" s="3">
        <v>1075</v>
      </c>
    </row>
    <row r="311" spans="1:3" x14ac:dyDescent="0.25">
      <c r="A311" s="1"/>
      <c r="B311" s="1" t="s">
        <v>54</v>
      </c>
      <c r="C311" s="3">
        <v>2460</v>
      </c>
    </row>
    <row r="312" spans="1:3" x14ac:dyDescent="0.25">
      <c r="A312" s="1"/>
      <c r="B312" s="1" t="s">
        <v>8</v>
      </c>
      <c r="C312" s="3">
        <v>4285</v>
      </c>
    </row>
    <row r="313" spans="1:3" x14ac:dyDescent="0.25">
      <c r="A313" s="1"/>
      <c r="B313" s="1" t="s">
        <v>55</v>
      </c>
      <c r="C313" s="3">
        <v>2678</v>
      </c>
    </row>
    <row r="314" spans="1:3" x14ac:dyDescent="0.25">
      <c r="A314" s="1"/>
      <c r="B314" s="1" t="s">
        <v>56</v>
      </c>
      <c r="C314" s="3">
        <v>41120</v>
      </c>
    </row>
    <row r="315" spans="1:3" x14ac:dyDescent="0.25">
      <c r="A315" s="1"/>
      <c r="B315" s="10" t="s">
        <v>32</v>
      </c>
      <c r="C315" s="10">
        <f>SUM(C310:C314)</f>
        <v>51618</v>
      </c>
    </row>
    <row r="316" spans="1:3" x14ac:dyDescent="0.25">
      <c r="A316" s="1"/>
      <c r="B316" s="10"/>
      <c r="C316" s="10"/>
    </row>
    <row r="317" spans="1:3" ht="17.25" x14ac:dyDescent="0.25">
      <c r="A317" s="1"/>
      <c r="B317" s="2" t="s">
        <v>207</v>
      </c>
      <c r="C317" s="2" t="s">
        <v>208</v>
      </c>
    </row>
    <row r="318" spans="1:3" x14ac:dyDescent="0.25">
      <c r="A318" s="1"/>
      <c r="B318" s="1"/>
      <c r="C318" s="1"/>
    </row>
    <row r="319" spans="1:3" x14ac:dyDescent="0.25">
      <c r="A319" s="1">
        <v>18</v>
      </c>
      <c r="B319" s="2" t="s">
        <v>203</v>
      </c>
      <c r="C319" s="4" t="s">
        <v>9</v>
      </c>
    </row>
    <row r="320" spans="1:3" x14ac:dyDescent="0.25">
      <c r="A320" s="1"/>
      <c r="B320" s="1" t="s">
        <v>209</v>
      </c>
      <c r="C320" s="3">
        <v>7775</v>
      </c>
    </row>
    <row r="321" spans="1:3" x14ac:dyDescent="0.25">
      <c r="A321" s="1"/>
      <c r="B321" s="1" t="s">
        <v>210</v>
      </c>
      <c r="C321" s="3">
        <v>14009</v>
      </c>
    </row>
    <row r="322" spans="1:3" x14ac:dyDescent="0.25">
      <c r="A322" s="1"/>
      <c r="B322" s="1" t="s">
        <v>211</v>
      </c>
      <c r="C322" s="3">
        <v>2625</v>
      </c>
    </row>
    <row r="323" spans="1:3" x14ac:dyDescent="0.25">
      <c r="A323" s="1"/>
      <c r="B323" s="1" t="s">
        <v>212</v>
      </c>
      <c r="C323" s="3">
        <v>26005</v>
      </c>
    </row>
    <row r="324" spans="1:3" x14ac:dyDescent="0.25">
      <c r="A324" s="1"/>
      <c r="B324" s="1" t="s">
        <v>213</v>
      </c>
      <c r="C324" s="3">
        <v>24770</v>
      </c>
    </row>
    <row r="325" spans="1:3" x14ac:dyDescent="0.25">
      <c r="A325" s="1"/>
      <c r="B325" s="1" t="s">
        <v>214</v>
      </c>
      <c r="C325" s="3">
        <v>42520</v>
      </c>
    </row>
    <row r="326" spans="1:3" x14ac:dyDescent="0.25">
      <c r="A326" s="1"/>
      <c r="B326" s="10" t="s">
        <v>32</v>
      </c>
      <c r="C326" s="10">
        <f>SUM(C320:C325)</f>
        <v>117704</v>
      </c>
    </row>
    <row r="327" spans="1:3" x14ac:dyDescent="0.25">
      <c r="A327" s="1"/>
      <c r="B327" s="2"/>
      <c r="C327" s="2"/>
    </row>
    <row r="328" spans="1:3" x14ac:dyDescent="0.25">
      <c r="A328" s="1">
        <v>19</v>
      </c>
      <c r="B328" s="2" t="s">
        <v>215</v>
      </c>
      <c r="C328" s="4" t="s">
        <v>9</v>
      </c>
    </row>
    <row r="329" spans="1:3" x14ac:dyDescent="0.25">
      <c r="A329" s="1"/>
      <c r="B329" s="1" t="s">
        <v>216</v>
      </c>
      <c r="C329" s="3">
        <v>15205</v>
      </c>
    </row>
    <row r="330" spans="1:3" x14ac:dyDescent="0.25">
      <c r="A330" s="1"/>
      <c r="B330" s="1" t="s">
        <v>217</v>
      </c>
      <c r="C330" s="3">
        <v>4998</v>
      </c>
    </row>
    <row r="331" spans="1:3" x14ac:dyDescent="0.25">
      <c r="A331" s="1"/>
      <c r="B331" s="10" t="s">
        <v>32</v>
      </c>
      <c r="C331" s="10">
        <f>SUM(C329:C330)</f>
        <v>20203</v>
      </c>
    </row>
    <row r="332" spans="1:3" x14ac:dyDescent="0.25">
      <c r="A332" s="1"/>
      <c r="B332" s="1"/>
      <c r="C332" s="4"/>
    </row>
    <row r="333" spans="1:3" x14ac:dyDescent="0.25">
      <c r="A333" s="1">
        <v>20</v>
      </c>
      <c r="B333" s="2" t="s">
        <v>224</v>
      </c>
      <c r="C333" s="4" t="s">
        <v>9</v>
      </c>
    </row>
    <row r="334" spans="1:3" x14ac:dyDescent="0.25">
      <c r="A334" s="1"/>
      <c r="B334" s="1" t="s">
        <v>202</v>
      </c>
      <c r="C334" s="3">
        <v>250</v>
      </c>
    </row>
    <row r="335" spans="1:3" x14ac:dyDescent="0.25">
      <c r="A335" s="1"/>
      <c r="B335" s="1" t="s">
        <v>218</v>
      </c>
      <c r="C335" s="3">
        <v>3220</v>
      </c>
    </row>
    <row r="336" spans="1:3" x14ac:dyDescent="0.25">
      <c r="A336" s="1"/>
      <c r="B336" s="10" t="s">
        <v>32</v>
      </c>
      <c r="C336" s="10">
        <f>SUM(C334:C335)</f>
        <v>3470</v>
      </c>
    </row>
    <row r="337" spans="1:3" x14ac:dyDescent="0.25">
      <c r="A337" s="1"/>
      <c r="B337" s="10"/>
      <c r="C337" s="10"/>
    </row>
    <row r="338" spans="1:3" ht="17.25" x14ac:dyDescent="0.25">
      <c r="A338" s="1"/>
      <c r="B338" s="2" t="s">
        <v>22</v>
      </c>
      <c r="C338" s="12" t="s">
        <v>76</v>
      </c>
    </row>
    <row r="339" spans="1:3" x14ac:dyDescent="0.25">
      <c r="A339" s="1"/>
      <c r="B339" s="1"/>
      <c r="C339" s="4"/>
    </row>
    <row r="340" spans="1:3" x14ac:dyDescent="0.25">
      <c r="A340" s="1">
        <v>21</v>
      </c>
      <c r="B340" s="2" t="s">
        <v>225</v>
      </c>
      <c r="C340" s="4" t="s">
        <v>9</v>
      </c>
    </row>
    <row r="341" spans="1:3" x14ac:dyDescent="0.25">
      <c r="A341" s="1"/>
      <c r="B341" s="1" t="s">
        <v>219</v>
      </c>
      <c r="C341" s="3">
        <v>6340</v>
      </c>
    </row>
    <row r="342" spans="1:3" x14ac:dyDescent="0.25">
      <c r="A342" s="1"/>
      <c r="B342" s="1" t="s">
        <v>220</v>
      </c>
      <c r="C342" s="3">
        <v>55155</v>
      </c>
    </row>
    <row r="343" spans="1:3" x14ac:dyDescent="0.25">
      <c r="A343" s="1"/>
      <c r="B343" s="1" t="s">
        <v>221</v>
      </c>
      <c r="C343" s="3">
        <v>28260</v>
      </c>
    </row>
    <row r="344" spans="1:3" x14ac:dyDescent="0.25">
      <c r="A344" s="1"/>
      <c r="B344" s="1" t="s">
        <v>222</v>
      </c>
      <c r="C344" s="3">
        <v>14460</v>
      </c>
    </row>
    <row r="345" spans="1:3" x14ac:dyDescent="0.25">
      <c r="A345" s="1"/>
      <c r="B345" s="1" t="s">
        <v>223</v>
      </c>
      <c r="C345" s="3">
        <v>6310</v>
      </c>
    </row>
    <row r="346" spans="1:3" x14ac:dyDescent="0.25">
      <c r="A346" s="1"/>
      <c r="B346" s="10" t="s">
        <v>32</v>
      </c>
      <c r="C346" s="10">
        <f>SUM(C341:C345)</f>
        <v>110525</v>
      </c>
    </row>
    <row r="347" spans="1:3" x14ac:dyDescent="0.25">
      <c r="A347" s="1"/>
      <c r="B347" s="2"/>
      <c r="C347" s="4"/>
    </row>
    <row r="348" spans="1:3" ht="17.25" x14ac:dyDescent="0.25">
      <c r="A348" s="1"/>
      <c r="B348" s="2" t="s">
        <v>21</v>
      </c>
      <c r="C348" s="12" t="s">
        <v>80</v>
      </c>
    </row>
    <row r="349" spans="1:3" x14ac:dyDescent="0.25">
      <c r="A349" s="1"/>
      <c r="B349" s="1"/>
      <c r="C349" s="8"/>
    </row>
    <row r="350" spans="1:3" x14ac:dyDescent="0.25">
      <c r="A350" s="1">
        <v>22</v>
      </c>
      <c r="B350" s="2" t="s">
        <v>141</v>
      </c>
      <c r="C350" s="4" t="s">
        <v>9</v>
      </c>
    </row>
    <row r="351" spans="1:3" x14ac:dyDescent="0.25">
      <c r="A351" s="1"/>
      <c r="B351" s="1" t="s">
        <v>226</v>
      </c>
      <c r="C351" s="3">
        <v>2835</v>
      </c>
    </row>
    <row r="352" spans="1:3" x14ac:dyDescent="0.25">
      <c r="A352" s="1"/>
      <c r="B352" s="1"/>
      <c r="C352" s="8"/>
    </row>
    <row r="353" spans="1:3" x14ac:dyDescent="0.25">
      <c r="A353" s="1">
        <v>23</v>
      </c>
      <c r="B353" s="2" t="s">
        <v>227</v>
      </c>
      <c r="C353" s="4" t="s">
        <v>9</v>
      </c>
    </row>
    <row r="354" spans="1:3" x14ac:dyDescent="0.25">
      <c r="A354" s="1"/>
      <c r="B354" s="1" t="s">
        <v>230</v>
      </c>
      <c r="C354" s="3">
        <v>230</v>
      </c>
    </row>
    <row r="355" spans="1:3" x14ac:dyDescent="0.25">
      <c r="A355" s="1"/>
      <c r="B355" s="1" t="s">
        <v>216</v>
      </c>
      <c r="C355" s="3">
        <v>1955</v>
      </c>
    </row>
    <row r="356" spans="1:3" x14ac:dyDescent="0.25">
      <c r="A356" s="1"/>
      <c r="B356" s="1" t="s">
        <v>217</v>
      </c>
      <c r="C356" s="3">
        <v>3415</v>
      </c>
    </row>
    <row r="357" spans="1:3" x14ac:dyDescent="0.25">
      <c r="A357" s="1"/>
      <c r="B357" s="10" t="s">
        <v>32</v>
      </c>
      <c r="C357" s="10">
        <f>SUM(C354:C356)</f>
        <v>5600</v>
      </c>
    </row>
    <row r="358" spans="1:3" x14ac:dyDescent="0.25">
      <c r="A358" s="1"/>
      <c r="B358" s="2"/>
      <c r="C358" s="4"/>
    </row>
    <row r="359" spans="1:3" ht="17.25" x14ac:dyDescent="0.25">
      <c r="A359" s="1"/>
      <c r="B359" s="2" t="s">
        <v>20</v>
      </c>
      <c r="C359" s="12" t="s">
        <v>73</v>
      </c>
    </row>
    <row r="360" spans="1:3" x14ac:dyDescent="0.25">
      <c r="A360" s="1"/>
      <c r="B360" s="1"/>
      <c r="C360" s="1"/>
    </row>
    <row r="361" spans="1:3" x14ac:dyDescent="0.25">
      <c r="A361" s="1">
        <v>24</v>
      </c>
      <c r="B361" s="2" t="s">
        <v>232</v>
      </c>
      <c r="C361" s="4" t="s">
        <v>9</v>
      </c>
    </row>
    <row r="362" spans="1:3" x14ac:dyDescent="0.25">
      <c r="A362" s="1"/>
      <c r="B362" s="1" t="s">
        <v>235</v>
      </c>
      <c r="C362" s="3">
        <v>620</v>
      </c>
    </row>
    <row r="363" spans="1:3" x14ac:dyDescent="0.25">
      <c r="A363" s="1"/>
      <c r="B363" s="1" t="s">
        <v>228</v>
      </c>
      <c r="C363" s="3">
        <v>455</v>
      </c>
    </row>
    <row r="364" spans="1:3" x14ac:dyDescent="0.25">
      <c r="A364" s="1"/>
      <c r="B364" s="1" t="s">
        <v>229</v>
      </c>
      <c r="C364" s="3">
        <v>475</v>
      </c>
    </row>
    <row r="365" spans="1:3" x14ac:dyDescent="0.25">
      <c r="A365" s="1"/>
      <c r="B365" s="1" t="s">
        <v>230</v>
      </c>
      <c r="C365" s="3">
        <v>520</v>
      </c>
    </row>
    <row r="366" spans="1:3" x14ac:dyDescent="0.25">
      <c r="A366" s="1"/>
      <c r="B366" s="1" t="s">
        <v>216</v>
      </c>
      <c r="C366" s="3">
        <v>32685</v>
      </c>
    </row>
    <row r="367" spans="1:3" x14ac:dyDescent="0.25">
      <c r="A367" s="1"/>
      <c r="B367" s="1" t="s">
        <v>217</v>
      </c>
      <c r="C367" s="3">
        <v>34375</v>
      </c>
    </row>
    <row r="368" spans="1:3" x14ac:dyDescent="0.25">
      <c r="A368" s="1"/>
      <c r="B368" s="10" t="s">
        <v>32</v>
      </c>
      <c r="C368" s="10">
        <f>SUM(C362:C367)</f>
        <v>69130</v>
      </c>
    </row>
    <row r="369" spans="1:3" x14ac:dyDescent="0.25">
      <c r="A369" s="1"/>
      <c r="B369" s="2"/>
      <c r="C369" s="4"/>
    </row>
    <row r="370" spans="1:3" ht="17.25" x14ac:dyDescent="0.25">
      <c r="A370" s="1"/>
      <c r="B370" s="2" t="s">
        <v>231</v>
      </c>
      <c r="C370" s="2" t="s">
        <v>234</v>
      </c>
    </row>
  </sheetData>
  <mergeCells count="4">
    <mergeCell ref="A1:C1"/>
    <mergeCell ref="B2:C2"/>
    <mergeCell ref="B3:C3"/>
    <mergeCell ref="B165:C16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0981-E008-4D01-9687-0FAE67391D95}">
  <sheetPr codeName="Sheet5"/>
  <dimension ref="A1:C363"/>
  <sheetViews>
    <sheetView tabSelected="1" topLeftCell="A331" workbookViewId="0">
      <selection activeCell="B370" sqref="B370"/>
    </sheetView>
  </sheetViews>
  <sheetFormatPr defaultRowHeight="15" x14ac:dyDescent="0.25"/>
  <cols>
    <col min="2" max="2" width="80.28515625" customWidth="1"/>
    <col min="3" max="3" width="67.42578125" customWidth="1"/>
  </cols>
  <sheetData>
    <row r="1" spans="1:3" x14ac:dyDescent="0.25">
      <c r="A1" s="20" t="s">
        <v>12</v>
      </c>
      <c r="B1" s="20"/>
      <c r="C1" s="20"/>
    </row>
    <row r="2" spans="1:3" x14ac:dyDescent="0.25">
      <c r="A2" s="5" t="s">
        <v>0</v>
      </c>
      <c r="B2" s="21" t="s">
        <v>362</v>
      </c>
      <c r="C2" s="21"/>
    </row>
    <row r="3" spans="1:3" s="7" customFormat="1" x14ac:dyDescent="0.25">
      <c r="A3" s="6"/>
      <c r="B3" s="22" t="s">
        <v>89</v>
      </c>
      <c r="C3" s="23"/>
    </row>
    <row r="4" spans="1:3" x14ac:dyDescent="0.25">
      <c r="A4" s="1">
        <v>1</v>
      </c>
      <c r="B4" s="2" t="s">
        <v>90</v>
      </c>
      <c r="C4" s="1"/>
    </row>
    <row r="5" spans="1:3" ht="17.25" x14ac:dyDescent="0.25">
      <c r="A5" s="1"/>
      <c r="B5" s="2" t="s">
        <v>33</v>
      </c>
      <c r="C5" s="1" t="s">
        <v>365</v>
      </c>
    </row>
    <row r="6" spans="1:3" x14ac:dyDescent="0.25">
      <c r="A6" s="1"/>
      <c r="B6" s="1" t="s">
        <v>4</v>
      </c>
    </row>
    <row r="7" spans="1:3" x14ac:dyDescent="0.25">
      <c r="A7" s="1"/>
      <c r="B7" s="1" t="s">
        <v>2</v>
      </c>
      <c r="C7" s="1" t="s">
        <v>364</v>
      </c>
    </row>
    <row r="8" spans="1:3" ht="17.25" x14ac:dyDescent="0.25">
      <c r="A8" s="1"/>
      <c r="B8" s="1" t="s">
        <v>1</v>
      </c>
      <c r="C8" s="1" t="s">
        <v>363</v>
      </c>
    </row>
    <row r="9" spans="1:3" ht="17.25" x14ac:dyDescent="0.25">
      <c r="A9" s="1"/>
      <c r="B9" s="1" t="s">
        <v>3</v>
      </c>
      <c r="C9" s="1" t="s">
        <v>366</v>
      </c>
    </row>
    <row r="10" spans="1:3" x14ac:dyDescent="0.25">
      <c r="A10" s="1"/>
      <c r="B10" s="1"/>
      <c r="C10" s="1"/>
    </row>
    <row r="11" spans="1:3" x14ac:dyDescent="0.25">
      <c r="A11" s="1"/>
      <c r="B11" s="1" t="s">
        <v>91</v>
      </c>
      <c r="C11" s="4" t="s">
        <v>9</v>
      </c>
    </row>
    <row r="12" spans="1:3" x14ac:dyDescent="0.25">
      <c r="A12" s="1"/>
      <c r="B12" s="1" t="s">
        <v>53</v>
      </c>
      <c r="C12" s="3">
        <v>750</v>
      </c>
    </row>
    <row r="13" spans="1:3" x14ac:dyDescent="0.25">
      <c r="A13" s="1"/>
      <c r="B13" s="1"/>
      <c r="C13" s="1"/>
    </row>
    <row r="14" spans="1:3" x14ac:dyDescent="0.25">
      <c r="A14" s="1">
        <v>2</v>
      </c>
      <c r="B14" s="2" t="s">
        <v>93</v>
      </c>
      <c r="C14" s="1"/>
    </row>
    <row r="15" spans="1:3" ht="17.25" x14ac:dyDescent="0.25">
      <c r="A15" s="1"/>
      <c r="B15" s="1" t="s">
        <v>7</v>
      </c>
      <c r="C15" s="1" t="s">
        <v>367</v>
      </c>
    </row>
    <row r="16" spans="1:3" x14ac:dyDescent="0.25">
      <c r="A16" s="1"/>
      <c r="B16" s="1" t="s">
        <v>2</v>
      </c>
      <c r="C16" s="1" t="s">
        <v>368</v>
      </c>
    </row>
    <row r="17" spans="1:3" ht="17.25" x14ac:dyDescent="0.25">
      <c r="A17" s="1"/>
      <c r="B17" s="1" t="s">
        <v>14</v>
      </c>
      <c r="C17" s="1" t="s">
        <v>369</v>
      </c>
    </row>
    <row r="18" spans="1:3" ht="17.25" x14ac:dyDescent="0.25">
      <c r="A18" s="1"/>
      <c r="B18" s="1" t="s">
        <v>316</v>
      </c>
      <c r="C18" s="1" t="s">
        <v>366</v>
      </c>
    </row>
    <row r="19" spans="1:3" x14ac:dyDescent="0.25">
      <c r="A19" s="1"/>
      <c r="B19" s="1"/>
      <c r="C19" s="1"/>
    </row>
    <row r="20" spans="1:3" x14ac:dyDescent="0.25">
      <c r="A20" s="1">
        <v>3</v>
      </c>
      <c r="B20" s="2" t="s">
        <v>97</v>
      </c>
      <c r="C20" s="4" t="s">
        <v>9</v>
      </c>
    </row>
    <row r="21" spans="1:3" x14ac:dyDescent="0.25">
      <c r="A21" s="1"/>
      <c r="B21" s="1" t="s">
        <v>56</v>
      </c>
      <c r="C21" s="3">
        <v>2805</v>
      </c>
    </row>
    <row r="22" spans="1:3" x14ac:dyDescent="0.25">
      <c r="A22" s="1"/>
      <c r="B22" s="1" t="s">
        <v>75</v>
      </c>
      <c r="C22" s="3">
        <v>14390</v>
      </c>
    </row>
    <row r="23" spans="1:3" x14ac:dyDescent="0.25">
      <c r="A23" s="1"/>
      <c r="B23" s="10" t="s">
        <v>32</v>
      </c>
      <c r="C23" s="13">
        <f>SUM(C21:C22)</f>
        <v>17195</v>
      </c>
    </row>
    <row r="24" spans="1:3" x14ac:dyDescent="0.25">
      <c r="A24" s="1"/>
      <c r="B24" s="1"/>
      <c r="C24" s="1"/>
    </row>
    <row r="25" spans="1:3" x14ac:dyDescent="0.25">
      <c r="A25" s="1">
        <v>4</v>
      </c>
      <c r="B25" s="2" t="s">
        <v>96</v>
      </c>
      <c r="C25" s="4" t="s">
        <v>9</v>
      </c>
    </row>
    <row r="26" spans="1:3" x14ac:dyDescent="0.25">
      <c r="A26" s="1"/>
      <c r="B26" s="1" t="s">
        <v>370</v>
      </c>
      <c r="C26" s="3">
        <v>395</v>
      </c>
    </row>
    <row r="27" spans="1:3" x14ac:dyDescent="0.25">
      <c r="A27" s="1"/>
      <c r="B27" s="1" t="s">
        <v>371</v>
      </c>
      <c r="C27" s="3">
        <v>895</v>
      </c>
    </row>
    <row r="28" spans="1:3" x14ac:dyDescent="0.25">
      <c r="A28" s="1"/>
      <c r="B28" s="1" t="s">
        <v>372</v>
      </c>
      <c r="C28" s="3">
        <v>305</v>
      </c>
    </row>
    <row r="29" spans="1:3" x14ac:dyDescent="0.25">
      <c r="A29" s="1"/>
      <c r="B29" s="1" t="s">
        <v>373</v>
      </c>
      <c r="C29" s="3">
        <v>235</v>
      </c>
    </row>
    <row r="30" spans="1:3" x14ac:dyDescent="0.25">
      <c r="A30" s="1"/>
      <c r="B30" s="10" t="s">
        <v>32</v>
      </c>
      <c r="C30" s="13">
        <f>SUM(C26:C29)</f>
        <v>1830</v>
      </c>
    </row>
    <row r="31" spans="1:3" x14ac:dyDescent="0.25">
      <c r="A31" s="1"/>
      <c r="B31" s="10"/>
      <c r="C31" s="13"/>
    </row>
    <row r="32" spans="1:3" ht="17.25" x14ac:dyDescent="0.25">
      <c r="A32" s="1"/>
      <c r="B32" s="16" t="s">
        <v>98</v>
      </c>
      <c r="C32" s="9" t="s">
        <v>374</v>
      </c>
    </row>
    <row r="33" spans="1:3" x14ac:dyDescent="0.25">
      <c r="A33" s="1"/>
      <c r="B33" s="1"/>
      <c r="C33" s="1"/>
    </row>
    <row r="34" spans="1:3" x14ac:dyDescent="0.25">
      <c r="A34" s="1">
        <v>5</v>
      </c>
      <c r="B34" s="2" t="s">
        <v>104</v>
      </c>
      <c r="C34" s="4" t="s">
        <v>9</v>
      </c>
    </row>
    <row r="35" spans="1:3" x14ac:dyDescent="0.25">
      <c r="A35" s="1"/>
      <c r="B35" s="1" t="s">
        <v>53</v>
      </c>
      <c r="C35" s="3">
        <v>5376</v>
      </c>
    </row>
    <row r="36" spans="1:3" x14ac:dyDescent="0.25">
      <c r="A36" s="1"/>
      <c r="B36" s="1" t="s">
        <v>54</v>
      </c>
      <c r="C36" s="3">
        <v>3159</v>
      </c>
    </row>
    <row r="37" spans="1:3" x14ac:dyDescent="0.25">
      <c r="A37" s="1"/>
      <c r="B37" s="1" t="s">
        <v>8</v>
      </c>
      <c r="C37" s="3">
        <v>12178</v>
      </c>
    </row>
    <row r="38" spans="1:3" x14ac:dyDescent="0.25">
      <c r="A38" s="1"/>
      <c r="B38" s="1" t="s">
        <v>55</v>
      </c>
      <c r="C38" s="3">
        <v>4585</v>
      </c>
    </row>
    <row r="39" spans="1:3" x14ac:dyDescent="0.25">
      <c r="A39" s="1"/>
      <c r="B39" s="1" t="s">
        <v>56</v>
      </c>
      <c r="C39" s="3">
        <v>5143</v>
      </c>
    </row>
    <row r="40" spans="1:3" x14ac:dyDescent="0.25">
      <c r="A40" s="1"/>
      <c r="B40" s="10" t="s">
        <v>32</v>
      </c>
      <c r="C40" s="13">
        <f>SUM(C35:C39)</f>
        <v>30441</v>
      </c>
    </row>
    <row r="41" spans="1:3" x14ac:dyDescent="0.25">
      <c r="A41" s="1"/>
      <c r="B41" s="1"/>
      <c r="C41" s="1"/>
    </row>
    <row r="42" spans="1:3" x14ac:dyDescent="0.25">
      <c r="A42" s="2">
        <v>6</v>
      </c>
      <c r="B42" s="2" t="s">
        <v>107</v>
      </c>
      <c r="C42" s="3"/>
    </row>
    <row r="43" spans="1:3" x14ac:dyDescent="0.25">
      <c r="A43" s="1"/>
      <c r="B43" s="1" t="s">
        <v>108</v>
      </c>
      <c r="C43" s="3"/>
    </row>
    <row r="44" spans="1:3" ht="17.25" x14ac:dyDescent="0.25">
      <c r="A44" s="1"/>
      <c r="B44" s="1" t="s">
        <v>16</v>
      </c>
      <c r="C44" s="1" t="s">
        <v>375</v>
      </c>
    </row>
    <row r="45" spans="1:3" ht="17.25" x14ac:dyDescent="0.25">
      <c r="A45" s="1"/>
      <c r="B45" s="9" t="s">
        <v>17</v>
      </c>
      <c r="C45" s="1" t="s">
        <v>376</v>
      </c>
    </row>
    <row r="46" spans="1:3" x14ac:dyDescent="0.25">
      <c r="A46" s="1"/>
      <c r="B46" s="1" t="s">
        <v>2</v>
      </c>
      <c r="C46" s="1" t="s">
        <v>368</v>
      </c>
    </row>
    <row r="47" spans="1:3" x14ac:dyDescent="0.25">
      <c r="A47" s="1"/>
      <c r="B47" s="1"/>
      <c r="C47" s="3"/>
    </row>
    <row r="48" spans="1:3" x14ac:dyDescent="0.25">
      <c r="A48" s="1"/>
      <c r="B48" s="1" t="s">
        <v>109</v>
      </c>
      <c r="C48" s="4" t="s">
        <v>9</v>
      </c>
    </row>
    <row r="49" spans="1:3" x14ac:dyDescent="0.25">
      <c r="A49" s="1"/>
      <c r="B49" s="1" t="s">
        <v>53</v>
      </c>
      <c r="C49" s="3">
        <v>298</v>
      </c>
    </row>
    <row r="50" spans="1:3" x14ac:dyDescent="0.25">
      <c r="A50" s="1"/>
      <c r="B50" s="1" t="s">
        <v>54</v>
      </c>
      <c r="C50" s="3">
        <v>279</v>
      </c>
    </row>
    <row r="51" spans="1:3" x14ac:dyDescent="0.25">
      <c r="A51" s="1"/>
      <c r="B51" s="1" t="s">
        <v>8</v>
      </c>
      <c r="C51" s="3">
        <v>280</v>
      </c>
    </row>
    <row r="52" spans="1:3" x14ac:dyDescent="0.25">
      <c r="A52" s="1"/>
      <c r="B52" s="1" t="s">
        <v>55</v>
      </c>
      <c r="C52" s="3">
        <v>2390</v>
      </c>
    </row>
    <row r="53" spans="1:3" x14ac:dyDescent="0.25">
      <c r="A53" s="1"/>
      <c r="B53" s="1" t="s">
        <v>56</v>
      </c>
      <c r="C53" s="3">
        <v>1935</v>
      </c>
    </row>
    <row r="54" spans="1:3" x14ac:dyDescent="0.25">
      <c r="A54" s="1"/>
      <c r="B54" s="10" t="s">
        <v>32</v>
      </c>
      <c r="C54" s="13">
        <f>SUM(C49:C53)</f>
        <v>5182</v>
      </c>
    </row>
    <row r="55" spans="1:3" x14ac:dyDescent="0.25">
      <c r="A55" s="1"/>
      <c r="B55" s="1"/>
      <c r="C55" s="1"/>
    </row>
    <row r="56" spans="1:3" ht="17.25" x14ac:dyDescent="0.25">
      <c r="A56" s="1"/>
      <c r="B56" s="16" t="s">
        <v>19</v>
      </c>
      <c r="C56" s="9" t="s">
        <v>377</v>
      </c>
    </row>
    <row r="57" spans="1:3" x14ac:dyDescent="0.25">
      <c r="A57" s="1"/>
      <c r="B57" s="1"/>
      <c r="C57" s="1"/>
    </row>
    <row r="58" spans="1:3" x14ac:dyDescent="0.25">
      <c r="A58" s="1">
        <v>7</v>
      </c>
      <c r="B58" s="2" t="s">
        <v>99</v>
      </c>
      <c r="C58" s="4" t="s">
        <v>9</v>
      </c>
    </row>
    <row r="59" spans="1:3" x14ac:dyDescent="0.25">
      <c r="A59" s="1"/>
      <c r="B59" s="1" t="s">
        <v>125</v>
      </c>
      <c r="C59" s="3">
        <v>400</v>
      </c>
    </row>
    <row r="60" spans="1:3" x14ac:dyDescent="0.25">
      <c r="A60" s="1"/>
      <c r="B60" s="1" t="s">
        <v>126</v>
      </c>
      <c r="C60" s="3">
        <v>230</v>
      </c>
    </row>
    <row r="61" spans="1:3" x14ac:dyDescent="0.25">
      <c r="A61" s="1"/>
      <c r="B61" s="1" t="s">
        <v>127</v>
      </c>
      <c r="C61" s="3">
        <v>20960</v>
      </c>
    </row>
    <row r="62" spans="1:3" x14ac:dyDescent="0.25">
      <c r="A62" s="1"/>
      <c r="B62" s="1" t="s">
        <v>128</v>
      </c>
      <c r="C62" s="3">
        <v>3730</v>
      </c>
    </row>
    <row r="63" spans="1:3" x14ac:dyDescent="0.25">
      <c r="A63" s="1"/>
      <c r="B63" s="10" t="s">
        <v>32</v>
      </c>
      <c r="C63" s="13">
        <f>SUM(C59:C62)</f>
        <v>25320</v>
      </c>
    </row>
    <row r="64" spans="1:3" x14ac:dyDescent="0.25">
      <c r="A64" s="1"/>
      <c r="B64" s="1"/>
      <c r="C64" s="1"/>
    </row>
    <row r="65" spans="1:3" x14ac:dyDescent="0.25">
      <c r="A65" s="2">
        <v>8</v>
      </c>
      <c r="B65" s="2" t="s">
        <v>101</v>
      </c>
      <c r="C65" s="4" t="s">
        <v>9</v>
      </c>
    </row>
    <row r="66" spans="1:3" x14ac:dyDescent="0.25">
      <c r="A66" s="2"/>
      <c r="B66" s="1" t="s">
        <v>381</v>
      </c>
      <c r="C66" s="3">
        <v>1145</v>
      </c>
    </row>
    <row r="67" spans="1:3" x14ac:dyDescent="0.25">
      <c r="A67" s="1"/>
      <c r="B67" s="1" t="s">
        <v>378</v>
      </c>
      <c r="C67" s="3">
        <v>20818</v>
      </c>
    </row>
    <row r="68" spans="1:3" x14ac:dyDescent="0.25">
      <c r="A68" s="1"/>
      <c r="B68" s="1" t="s">
        <v>379</v>
      </c>
      <c r="C68" s="3">
        <v>14110</v>
      </c>
    </row>
    <row r="69" spans="1:3" x14ac:dyDescent="0.25">
      <c r="A69" s="1"/>
      <c r="B69" s="1" t="s">
        <v>380</v>
      </c>
      <c r="C69" s="3">
        <v>13565</v>
      </c>
    </row>
    <row r="70" spans="1:3" x14ac:dyDescent="0.25">
      <c r="A70" s="1"/>
      <c r="B70" s="10" t="s">
        <v>32</v>
      </c>
      <c r="C70" s="13">
        <f>SUM(C66:C69)</f>
        <v>49638</v>
      </c>
    </row>
    <row r="71" spans="1:3" x14ac:dyDescent="0.25">
      <c r="A71" s="1"/>
      <c r="B71" s="1"/>
      <c r="C71" s="1"/>
    </row>
    <row r="72" spans="1:3" ht="17.25" x14ac:dyDescent="0.25">
      <c r="A72" s="1"/>
      <c r="B72" s="16" t="s">
        <v>30</v>
      </c>
      <c r="C72" s="12" t="s">
        <v>205</v>
      </c>
    </row>
    <row r="73" spans="1:3" x14ac:dyDescent="0.25">
      <c r="A73" s="1"/>
      <c r="B73" s="1"/>
      <c r="C73" s="1"/>
    </row>
    <row r="74" spans="1:3" x14ac:dyDescent="0.25">
      <c r="A74" s="1">
        <v>9</v>
      </c>
      <c r="B74" s="2" t="s">
        <v>103</v>
      </c>
      <c r="C74" s="4" t="s">
        <v>9</v>
      </c>
    </row>
    <row r="75" spans="1:3" x14ac:dyDescent="0.25">
      <c r="A75" s="1"/>
      <c r="B75" s="1" t="s">
        <v>78</v>
      </c>
      <c r="C75" s="3">
        <v>395</v>
      </c>
    </row>
    <row r="76" spans="1:3" x14ac:dyDescent="0.25">
      <c r="A76" s="1"/>
      <c r="B76" s="1" t="s">
        <v>29</v>
      </c>
      <c r="C76" s="3">
        <v>2370</v>
      </c>
    </row>
    <row r="77" spans="1:3" x14ac:dyDescent="0.25">
      <c r="A77" s="1"/>
      <c r="B77" s="1" t="s">
        <v>15</v>
      </c>
      <c r="C77" s="3">
        <v>17140</v>
      </c>
    </row>
    <row r="78" spans="1:3" x14ac:dyDescent="0.25">
      <c r="A78" s="1"/>
      <c r="B78" s="1" t="s">
        <v>28</v>
      </c>
      <c r="C78" s="3">
        <v>4399</v>
      </c>
    </row>
    <row r="79" spans="1:3" x14ac:dyDescent="0.25">
      <c r="A79" s="1"/>
      <c r="B79" s="10" t="s">
        <v>32</v>
      </c>
      <c r="C79" s="13">
        <f>SUM(C75:C78)</f>
        <v>24304</v>
      </c>
    </row>
    <row r="80" spans="1:3" x14ac:dyDescent="0.25">
      <c r="A80" s="1"/>
      <c r="B80" s="10"/>
      <c r="C80" s="13"/>
    </row>
    <row r="81" spans="1:3" x14ac:dyDescent="0.25">
      <c r="A81" s="2">
        <v>10</v>
      </c>
      <c r="B81" s="2" t="s">
        <v>116</v>
      </c>
      <c r="C81" s="3"/>
    </row>
    <row r="82" spans="1:3" x14ac:dyDescent="0.25">
      <c r="A82" s="1"/>
      <c r="B82" s="1" t="s">
        <v>110</v>
      </c>
      <c r="C82" s="3"/>
    </row>
    <row r="83" spans="1:3" ht="17.25" x14ac:dyDescent="0.25">
      <c r="A83" s="1"/>
      <c r="B83" s="1" t="s">
        <v>16</v>
      </c>
      <c r="C83" s="1" t="s">
        <v>383</v>
      </c>
    </row>
    <row r="84" spans="1:3" ht="17.25" x14ac:dyDescent="0.25">
      <c r="A84" s="1"/>
      <c r="B84" s="9" t="s">
        <v>17</v>
      </c>
      <c r="C84" s="1" t="s">
        <v>382</v>
      </c>
    </row>
    <row r="85" spans="1:3" x14ac:dyDescent="0.25">
      <c r="A85" s="1"/>
      <c r="B85" s="1" t="s">
        <v>2</v>
      </c>
      <c r="C85" s="1" t="s">
        <v>368</v>
      </c>
    </row>
    <row r="86" spans="1:3" x14ac:dyDescent="0.25">
      <c r="A86" s="1"/>
      <c r="B86" s="1"/>
      <c r="C86" s="3"/>
    </row>
    <row r="87" spans="1:3" x14ac:dyDescent="0.25">
      <c r="A87" s="1"/>
      <c r="B87" s="1" t="s">
        <v>113</v>
      </c>
      <c r="C87" s="4" t="s">
        <v>9</v>
      </c>
    </row>
    <row r="88" spans="1:3" x14ac:dyDescent="0.25">
      <c r="A88" s="1"/>
      <c r="B88" s="1" t="s">
        <v>78</v>
      </c>
      <c r="C88" s="3">
        <v>6880</v>
      </c>
    </row>
    <row r="89" spans="1:3" x14ac:dyDescent="0.25">
      <c r="A89" s="1"/>
      <c r="B89" s="1" t="s">
        <v>29</v>
      </c>
      <c r="C89" s="3">
        <v>1645</v>
      </c>
    </row>
    <row r="90" spans="1:3" x14ac:dyDescent="0.25">
      <c r="A90" s="1"/>
      <c r="B90" s="1" t="s">
        <v>15</v>
      </c>
      <c r="C90" s="3">
        <v>1275</v>
      </c>
    </row>
    <row r="91" spans="1:3" x14ac:dyDescent="0.25">
      <c r="A91" s="1"/>
      <c r="B91" s="1" t="s">
        <v>28</v>
      </c>
      <c r="C91" s="3">
        <v>689</v>
      </c>
    </row>
    <row r="92" spans="1:3" x14ac:dyDescent="0.25">
      <c r="A92" s="1"/>
      <c r="B92" s="1" t="s">
        <v>79</v>
      </c>
      <c r="C92" s="3">
        <v>285</v>
      </c>
    </row>
    <row r="93" spans="1:3" x14ac:dyDescent="0.25">
      <c r="A93" s="1"/>
      <c r="B93" s="10" t="s">
        <v>32</v>
      </c>
      <c r="C93" s="13">
        <f>SUM(C88:C92)</f>
        <v>10774</v>
      </c>
    </row>
    <row r="94" spans="1:3" x14ac:dyDescent="0.25">
      <c r="A94" s="1"/>
      <c r="B94" s="10"/>
      <c r="C94" s="13"/>
    </row>
    <row r="95" spans="1:3" ht="17.25" x14ac:dyDescent="0.25">
      <c r="A95" s="1"/>
      <c r="B95" s="16" t="s">
        <v>115</v>
      </c>
      <c r="C95" s="12" t="s">
        <v>384</v>
      </c>
    </row>
    <row r="96" spans="1:3" x14ac:dyDescent="0.25">
      <c r="A96" s="1"/>
      <c r="B96" s="16"/>
      <c r="C96" s="12"/>
    </row>
    <row r="97" spans="1:3" x14ac:dyDescent="0.25">
      <c r="A97" s="1">
        <v>11</v>
      </c>
      <c r="B97" s="2" t="s">
        <v>117</v>
      </c>
      <c r="C97" s="4" t="s">
        <v>9</v>
      </c>
    </row>
    <row r="98" spans="1:3" x14ac:dyDescent="0.25">
      <c r="A98" s="1"/>
      <c r="B98" s="1" t="s">
        <v>385</v>
      </c>
      <c r="C98" s="3">
        <v>1620</v>
      </c>
    </row>
    <row r="99" spans="1:3" x14ac:dyDescent="0.25">
      <c r="A99" s="1"/>
      <c r="B99" s="10"/>
      <c r="C99" s="13"/>
    </row>
    <row r="100" spans="1:3" x14ac:dyDescent="0.25">
      <c r="A100" s="1">
        <v>12</v>
      </c>
      <c r="B100" s="2" t="s">
        <v>118</v>
      </c>
      <c r="C100" s="4" t="s">
        <v>9</v>
      </c>
    </row>
    <row r="101" spans="1:3" x14ac:dyDescent="0.25">
      <c r="A101" s="1"/>
      <c r="B101" s="1" t="s">
        <v>164</v>
      </c>
      <c r="C101" s="17">
        <v>6620</v>
      </c>
    </row>
    <row r="102" spans="1:3" x14ac:dyDescent="0.25">
      <c r="A102" s="1"/>
      <c r="B102" s="1" t="s">
        <v>381</v>
      </c>
      <c r="C102" s="18">
        <v>3710</v>
      </c>
    </row>
    <row r="103" spans="1:3" x14ac:dyDescent="0.25">
      <c r="A103" s="1"/>
      <c r="B103" s="1" t="s">
        <v>378</v>
      </c>
      <c r="C103" s="18">
        <v>10610</v>
      </c>
    </row>
    <row r="104" spans="1:3" x14ac:dyDescent="0.25">
      <c r="A104" s="1"/>
      <c r="B104" s="1" t="s">
        <v>379</v>
      </c>
      <c r="C104" s="18">
        <v>8225</v>
      </c>
    </row>
    <row r="105" spans="1:3" x14ac:dyDescent="0.25">
      <c r="A105" s="1"/>
      <c r="B105" s="10" t="s">
        <v>32</v>
      </c>
      <c r="C105" s="13">
        <f>SUM(C100:C104)</f>
        <v>29165</v>
      </c>
    </row>
    <row r="106" spans="1:3" x14ac:dyDescent="0.25">
      <c r="A106" s="1"/>
      <c r="B106" s="10"/>
      <c r="C106" s="15"/>
    </row>
    <row r="107" spans="1:3" x14ac:dyDescent="0.25">
      <c r="A107" s="2">
        <v>13</v>
      </c>
      <c r="B107" s="2" t="s">
        <v>120</v>
      </c>
      <c r="C107" s="3"/>
    </row>
    <row r="108" spans="1:3" x14ac:dyDescent="0.25">
      <c r="A108" s="1"/>
      <c r="B108" s="1" t="s">
        <v>119</v>
      </c>
      <c r="C108" s="3"/>
    </row>
    <row r="109" spans="1:3" ht="17.25" x14ac:dyDescent="0.25">
      <c r="A109" s="1"/>
      <c r="B109" s="1" t="s">
        <v>16</v>
      </c>
      <c r="C109" s="1" t="s">
        <v>429</v>
      </c>
    </row>
    <row r="110" spans="1:3" ht="17.25" x14ac:dyDescent="0.25">
      <c r="A110" s="1"/>
      <c r="B110" s="9" t="s">
        <v>17</v>
      </c>
      <c r="C110" s="1" t="s">
        <v>402</v>
      </c>
    </row>
    <row r="111" spans="1:3" x14ac:dyDescent="0.25">
      <c r="A111" s="1"/>
      <c r="B111" s="1"/>
      <c r="C111" s="3"/>
    </row>
    <row r="112" spans="1:3" x14ac:dyDescent="0.25">
      <c r="A112" s="1"/>
      <c r="B112" s="1" t="s">
        <v>121</v>
      </c>
      <c r="C112" s="4" t="s">
        <v>9</v>
      </c>
    </row>
    <row r="113" spans="1:3" x14ac:dyDescent="0.25">
      <c r="A113" s="1"/>
      <c r="B113" s="1" t="s">
        <v>164</v>
      </c>
      <c r="C113" s="3">
        <v>405</v>
      </c>
    </row>
    <row r="114" spans="1:3" x14ac:dyDescent="0.25">
      <c r="A114" s="1"/>
      <c r="B114" s="1" t="s">
        <v>381</v>
      </c>
      <c r="C114" s="3">
        <v>905</v>
      </c>
    </row>
    <row r="115" spans="1:3" x14ac:dyDescent="0.25">
      <c r="A115" s="1"/>
      <c r="B115" s="10" t="s">
        <v>32</v>
      </c>
      <c r="C115" s="13">
        <f>SUM(C113:C114)</f>
        <v>1310</v>
      </c>
    </row>
    <row r="116" spans="1:3" x14ac:dyDescent="0.25">
      <c r="A116" s="1"/>
      <c r="B116" s="10"/>
      <c r="C116" s="15"/>
    </row>
    <row r="117" spans="1:3" x14ac:dyDescent="0.25">
      <c r="A117" s="1"/>
      <c r="B117" s="1" t="s">
        <v>122</v>
      </c>
      <c r="C117" s="4" t="s">
        <v>9</v>
      </c>
    </row>
    <row r="118" spans="1:3" x14ac:dyDescent="0.25">
      <c r="A118" s="1"/>
      <c r="B118" s="1" t="s">
        <v>386</v>
      </c>
      <c r="C118" s="3">
        <v>240</v>
      </c>
    </row>
    <row r="119" spans="1:3" x14ac:dyDescent="0.25">
      <c r="A119" s="1"/>
      <c r="B119" s="1"/>
      <c r="C119" s="3"/>
    </row>
    <row r="120" spans="1:3" ht="17.25" x14ac:dyDescent="0.25">
      <c r="A120" s="1"/>
      <c r="B120" s="16" t="s">
        <v>161</v>
      </c>
      <c r="C120" s="12" t="s">
        <v>388</v>
      </c>
    </row>
    <row r="121" spans="1:3" x14ac:dyDescent="0.25">
      <c r="A121" s="1"/>
      <c r="B121" s="10"/>
      <c r="C121" s="13"/>
    </row>
    <row r="122" spans="1:3" x14ac:dyDescent="0.25">
      <c r="A122" s="1"/>
      <c r="B122" s="1" t="s">
        <v>123</v>
      </c>
      <c r="C122" s="4" t="s">
        <v>9</v>
      </c>
    </row>
    <row r="123" spans="1:3" x14ac:dyDescent="0.25">
      <c r="A123" s="1"/>
      <c r="B123" s="1" t="s">
        <v>386</v>
      </c>
      <c r="C123" s="3">
        <v>2950</v>
      </c>
    </row>
    <row r="124" spans="1:3" x14ac:dyDescent="0.25">
      <c r="A124" s="1"/>
      <c r="B124" s="1" t="s">
        <v>430</v>
      </c>
      <c r="C124" s="3">
        <v>3820</v>
      </c>
    </row>
    <row r="125" spans="1:3" x14ac:dyDescent="0.25">
      <c r="A125" s="1"/>
      <c r="B125" s="10" t="s">
        <v>32</v>
      </c>
      <c r="C125" s="13">
        <f>SUM(C123:C124)</f>
        <v>6770</v>
      </c>
    </row>
    <row r="126" spans="1:3" x14ac:dyDescent="0.25">
      <c r="A126" s="1"/>
      <c r="B126" s="10"/>
      <c r="C126" s="13"/>
    </row>
    <row r="127" spans="1:3" ht="17.25" x14ac:dyDescent="0.25">
      <c r="A127" s="1"/>
      <c r="B127" s="16" t="s">
        <v>162</v>
      </c>
      <c r="C127" s="12" t="s">
        <v>388</v>
      </c>
    </row>
    <row r="128" spans="1:3" x14ac:dyDescent="0.25">
      <c r="A128" s="1"/>
      <c r="B128" s="10"/>
      <c r="C128" s="13"/>
    </row>
    <row r="129" spans="1:3" x14ac:dyDescent="0.25">
      <c r="A129" s="1">
        <v>14</v>
      </c>
      <c r="B129" s="2" t="s">
        <v>134</v>
      </c>
      <c r="C129" s="4" t="s">
        <v>9</v>
      </c>
    </row>
    <row r="130" spans="1:3" x14ac:dyDescent="0.25">
      <c r="A130" s="1"/>
      <c r="B130" s="1" t="s">
        <v>125</v>
      </c>
      <c r="C130" s="17">
        <v>6475</v>
      </c>
    </row>
    <row r="131" spans="1:3" x14ac:dyDescent="0.25">
      <c r="A131" s="1"/>
      <c r="B131" s="1" t="s">
        <v>126</v>
      </c>
      <c r="C131" s="18">
        <v>7472</v>
      </c>
    </row>
    <row r="132" spans="1:3" x14ac:dyDescent="0.25">
      <c r="A132" s="1"/>
      <c r="B132" s="1" t="s">
        <v>127</v>
      </c>
      <c r="C132" s="18">
        <v>15809</v>
      </c>
    </row>
    <row r="133" spans="1:3" x14ac:dyDescent="0.25">
      <c r="A133" s="1"/>
      <c r="B133" s="1" t="s">
        <v>128</v>
      </c>
      <c r="C133" s="18">
        <v>15725</v>
      </c>
    </row>
    <row r="134" spans="1:3" x14ac:dyDescent="0.25">
      <c r="A134" s="1"/>
      <c r="B134" s="1" t="s">
        <v>129</v>
      </c>
      <c r="C134" s="18">
        <v>21025</v>
      </c>
    </row>
    <row r="135" spans="1:3" x14ac:dyDescent="0.25">
      <c r="A135" s="1"/>
      <c r="B135" s="1" t="s">
        <v>130</v>
      </c>
      <c r="C135" s="18">
        <v>73878</v>
      </c>
    </row>
    <row r="136" spans="1:3" x14ac:dyDescent="0.25">
      <c r="A136" s="1"/>
      <c r="B136" s="1" t="s">
        <v>131</v>
      </c>
      <c r="C136" s="18">
        <v>13657</v>
      </c>
    </row>
    <row r="137" spans="1:3" x14ac:dyDescent="0.25">
      <c r="A137" s="1"/>
      <c r="B137" s="10" t="s">
        <v>32</v>
      </c>
      <c r="C137" s="13">
        <f>SUM(C130:C136)</f>
        <v>154041</v>
      </c>
    </row>
    <row r="138" spans="1:3" x14ac:dyDescent="0.25">
      <c r="A138" s="1"/>
      <c r="B138" s="10"/>
      <c r="C138" s="13"/>
    </row>
    <row r="139" spans="1:3" x14ac:dyDescent="0.25">
      <c r="A139" s="1">
        <v>15</v>
      </c>
      <c r="B139" s="2" t="s">
        <v>133</v>
      </c>
      <c r="C139" s="4" t="s">
        <v>9</v>
      </c>
    </row>
    <row r="140" spans="1:3" x14ac:dyDescent="0.25">
      <c r="A140" s="1"/>
      <c r="B140" s="1" t="s">
        <v>431</v>
      </c>
      <c r="C140" s="17">
        <v>195</v>
      </c>
    </row>
    <row r="141" spans="1:3" x14ac:dyDescent="0.25">
      <c r="A141" s="1"/>
      <c r="B141" s="1" t="s">
        <v>370</v>
      </c>
      <c r="C141" s="18">
        <v>608</v>
      </c>
    </row>
    <row r="142" spans="1:3" x14ac:dyDescent="0.25">
      <c r="A142" s="1"/>
      <c r="B142" s="10" t="s">
        <v>32</v>
      </c>
      <c r="C142" s="13">
        <f>SUM(C139:C141)</f>
        <v>803</v>
      </c>
    </row>
    <row r="143" spans="1:3" x14ac:dyDescent="0.25">
      <c r="A143" s="1"/>
      <c r="B143" s="10"/>
      <c r="C143" s="13"/>
    </row>
    <row r="144" spans="1:3" ht="17.25" x14ac:dyDescent="0.25">
      <c r="A144" s="1"/>
      <c r="B144" s="16" t="s">
        <v>163</v>
      </c>
      <c r="C144" s="12" t="s">
        <v>406</v>
      </c>
    </row>
    <row r="145" spans="1:3" x14ac:dyDescent="0.25">
      <c r="A145" s="1"/>
      <c r="B145" s="10"/>
      <c r="C145" s="13"/>
    </row>
    <row r="146" spans="1:3" x14ac:dyDescent="0.25">
      <c r="A146" s="1">
        <v>16</v>
      </c>
      <c r="B146" s="2" t="s">
        <v>136</v>
      </c>
      <c r="C146" s="4" t="s">
        <v>9</v>
      </c>
    </row>
    <row r="147" spans="1:3" x14ac:dyDescent="0.25">
      <c r="A147" s="1"/>
      <c r="B147" s="1" t="s">
        <v>370</v>
      </c>
      <c r="C147" s="17">
        <v>1580</v>
      </c>
    </row>
    <row r="148" spans="1:3" x14ac:dyDescent="0.25">
      <c r="A148" s="1"/>
      <c r="B148" s="1"/>
      <c r="C148" s="1"/>
    </row>
    <row r="149" spans="1:3" x14ac:dyDescent="0.25">
      <c r="A149" s="1">
        <v>17</v>
      </c>
      <c r="B149" s="2" t="s">
        <v>137</v>
      </c>
      <c r="C149" s="4" t="s">
        <v>9</v>
      </c>
    </row>
    <row r="150" spans="1:3" x14ac:dyDescent="0.25">
      <c r="A150" s="1"/>
      <c r="B150" s="1" t="s">
        <v>432</v>
      </c>
      <c r="C150" s="17">
        <v>620</v>
      </c>
    </row>
    <row r="151" spans="1:3" x14ac:dyDescent="0.25">
      <c r="A151" s="1"/>
      <c r="B151" s="1"/>
      <c r="C151" s="17"/>
    </row>
    <row r="152" spans="1:3" ht="17.25" x14ac:dyDescent="0.25">
      <c r="A152" s="1"/>
      <c r="B152" s="16" t="s">
        <v>165</v>
      </c>
      <c r="C152" s="12" t="s">
        <v>166</v>
      </c>
    </row>
    <row r="153" spans="1:3" x14ac:dyDescent="0.25">
      <c r="A153" s="1"/>
      <c r="B153" s="10"/>
      <c r="C153" s="13"/>
    </row>
    <row r="154" spans="1:3" x14ac:dyDescent="0.25">
      <c r="A154" s="1">
        <v>18</v>
      </c>
      <c r="B154" s="2" t="s">
        <v>138</v>
      </c>
      <c r="C154" s="4" t="s">
        <v>9</v>
      </c>
    </row>
    <row r="155" spans="1:3" x14ac:dyDescent="0.25">
      <c r="A155" s="1"/>
      <c r="B155" s="1" t="s">
        <v>386</v>
      </c>
      <c r="C155" s="17">
        <v>85</v>
      </c>
    </row>
    <row r="156" spans="1:3" x14ac:dyDescent="0.25">
      <c r="A156" s="1"/>
      <c r="B156" s="1" t="s">
        <v>430</v>
      </c>
      <c r="C156" s="18">
        <v>2275</v>
      </c>
    </row>
    <row r="157" spans="1:3" x14ac:dyDescent="0.25">
      <c r="A157" s="1"/>
      <c r="B157" s="1" t="s">
        <v>433</v>
      </c>
      <c r="C157" s="18">
        <v>23990</v>
      </c>
    </row>
    <row r="158" spans="1:3" x14ac:dyDescent="0.25">
      <c r="A158" s="1"/>
      <c r="B158" s="1" t="s">
        <v>434</v>
      </c>
      <c r="C158" s="18">
        <v>18325</v>
      </c>
    </row>
    <row r="159" spans="1:3" x14ac:dyDescent="0.25">
      <c r="A159" s="1"/>
      <c r="B159" s="1" t="s">
        <v>435</v>
      </c>
      <c r="C159" s="18">
        <v>5115</v>
      </c>
    </row>
    <row r="160" spans="1:3" x14ac:dyDescent="0.25">
      <c r="A160" s="1"/>
      <c r="B160" s="10" t="s">
        <v>32</v>
      </c>
      <c r="C160" s="13">
        <f>SUM(C157:C159)</f>
        <v>47430</v>
      </c>
    </row>
    <row r="161" spans="1:3" x14ac:dyDescent="0.25">
      <c r="A161" s="1"/>
      <c r="B161" s="10"/>
      <c r="C161" s="13"/>
    </row>
    <row r="162" spans="1:3" ht="17.25" x14ac:dyDescent="0.25">
      <c r="A162" s="1"/>
      <c r="B162" s="16" t="s">
        <v>31</v>
      </c>
      <c r="C162" s="12" t="s">
        <v>388</v>
      </c>
    </row>
    <row r="163" spans="1:3" x14ac:dyDescent="0.25">
      <c r="A163" s="1"/>
      <c r="B163" s="1"/>
      <c r="C163" s="1"/>
    </row>
    <row r="164" spans="1:3" x14ac:dyDescent="0.25">
      <c r="A164" s="1"/>
      <c r="B164" s="22" t="s">
        <v>233</v>
      </c>
      <c r="C164" s="23"/>
    </row>
    <row r="165" spans="1:3" x14ac:dyDescent="0.25">
      <c r="A165" s="1">
        <v>1</v>
      </c>
      <c r="B165" s="2" t="s">
        <v>346</v>
      </c>
      <c r="C165" s="1"/>
    </row>
    <row r="166" spans="1:3" x14ac:dyDescent="0.25">
      <c r="A166" s="1"/>
      <c r="B166" s="2" t="s">
        <v>4</v>
      </c>
      <c r="C166" s="1"/>
    </row>
    <row r="167" spans="1:3" ht="17.25" x14ac:dyDescent="0.25">
      <c r="A167" s="1"/>
      <c r="B167" s="1" t="s">
        <v>33</v>
      </c>
      <c r="C167" s="1" t="s">
        <v>389</v>
      </c>
    </row>
    <row r="168" spans="1:3" x14ac:dyDescent="0.25">
      <c r="A168" s="1"/>
      <c r="B168" s="1" t="s">
        <v>2</v>
      </c>
      <c r="C168" s="1" t="s">
        <v>368</v>
      </c>
    </row>
    <row r="169" spans="1:3" ht="17.25" x14ac:dyDescent="0.25">
      <c r="A169" s="1"/>
      <c r="B169" s="1" t="s">
        <v>1</v>
      </c>
      <c r="C169" s="1" t="s">
        <v>390</v>
      </c>
    </row>
    <row r="170" spans="1:3" ht="17.25" x14ac:dyDescent="0.25">
      <c r="A170" s="1"/>
      <c r="B170" s="1" t="s">
        <v>3</v>
      </c>
      <c r="C170" s="1" t="s">
        <v>396</v>
      </c>
    </row>
    <row r="171" spans="1:3" x14ac:dyDescent="0.25">
      <c r="A171" s="1"/>
      <c r="B171" s="1"/>
      <c r="C171" s="1"/>
    </row>
    <row r="172" spans="1:3" x14ac:dyDescent="0.25">
      <c r="A172" s="1"/>
      <c r="B172" s="2" t="s">
        <v>26</v>
      </c>
      <c r="C172" s="4" t="s">
        <v>9</v>
      </c>
    </row>
    <row r="173" spans="1:3" x14ac:dyDescent="0.25">
      <c r="A173" s="1"/>
      <c r="B173" s="1" t="s">
        <v>391</v>
      </c>
      <c r="C173" s="3">
        <v>1155</v>
      </c>
    </row>
    <row r="174" spans="1:3" x14ac:dyDescent="0.25">
      <c r="A174" s="1"/>
      <c r="B174" s="1" t="s">
        <v>392</v>
      </c>
      <c r="C174" s="3">
        <v>530</v>
      </c>
    </row>
    <row r="175" spans="1:3" x14ac:dyDescent="0.25">
      <c r="A175" s="1"/>
      <c r="B175" s="10" t="s">
        <v>32</v>
      </c>
      <c r="C175" s="10">
        <f>SUM(C173:C174)</f>
        <v>1685</v>
      </c>
    </row>
    <row r="176" spans="1:3" x14ac:dyDescent="0.25">
      <c r="A176" s="1"/>
      <c r="B176" s="1"/>
      <c r="C176" s="1"/>
    </row>
    <row r="177" spans="1:3" x14ac:dyDescent="0.25">
      <c r="A177" s="1">
        <v>2</v>
      </c>
      <c r="B177" s="2" t="s">
        <v>347</v>
      </c>
      <c r="C177" s="1"/>
    </row>
    <row r="178" spans="1:3" ht="17.25" x14ac:dyDescent="0.25">
      <c r="A178" s="1"/>
      <c r="B178" s="1" t="s">
        <v>34</v>
      </c>
      <c r="C178" s="1" t="s">
        <v>394</v>
      </c>
    </row>
    <row r="179" spans="1:3" x14ac:dyDescent="0.25">
      <c r="A179" s="1"/>
      <c r="B179" s="1" t="s">
        <v>2</v>
      </c>
      <c r="C179" t="s">
        <v>368</v>
      </c>
    </row>
    <row r="180" spans="1:3" ht="17.25" x14ac:dyDescent="0.25">
      <c r="A180" s="1"/>
      <c r="B180" s="1" t="s">
        <v>16</v>
      </c>
      <c r="C180" s="1" t="s">
        <v>395</v>
      </c>
    </row>
    <row r="181" spans="1:3" ht="17.25" x14ac:dyDescent="0.25">
      <c r="A181" s="1"/>
      <c r="B181" s="1" t="s">
        <v>37</v>
      </c>
      <c r="C181" s="1" t="s">
        <v>396</v>
      </c>
    </row>
    <row r="182" spans="1:3" x14ac:dyDescent="0.25">
      <c r="A182" s="1"/>
      <c r="B182" s="1"/>
      <c r="C182" s="1"/>
    </row>
    <row r="183" spans="1:3" x14ac:dyDescent="0.25">
      <c r="A183" s="1"/>
      <c r="B183" s="1" t="s">
        <v>348</v>
      </c>
      <c r="C183" s="4" t="s">
        <v>9</v>
      </c>
    </row>
    <row r="184" spans="1:3" x14ac:dyDescent="0.25">
      <c r="A184" s="1"/>
      <c r="B184" s="1" t="s">
        <v>391</v>
      </c>
      <c r="C184" s="3">
        <v>5689</v>
      </c>
    </row>
    <row r="185" spans="1:3" x14ac:dyDescent="0.25">
      <c r="A185" s="1"/>
      <c r="B185" s="1" t="s">
        <v>392</v>
      </c>
      <c r="C185" s="3">
        <v>1102</v>
      </c>
    </row>
    <row r="186" spans="1:3" x14ac:dyDescent="0.25">
      <c r="A186" s="1"/>
      <c r="B186" s="1" t="s">
        <v>393</v>
      </c>
      <c r="C186" s="3">
        <v>3734</v>
      </c>
    </row>
    <row r="187" spans="1:3" x14ac:dyDescent="0.25">
      <c r="A187" s="1"/>
      <c r="B187" s="1" t="s">
        <v>69</v>
      </c>
      <c r="C187" s="3">
        <v>1570</v>
      </c>
    </row>
    <row r="188" spans="1:3" x14ac:dyDescent="0.25">
      <c r="A188" s="1"/>
      <c r="B188" s="1" t="s">
        <v>70</v>
      </c>
      <c r="C188" s="3">
        <v>20555</v>
      </c>
    </row>
    <row r="189" spans="1:3" x14ac:dyDescent="0.25">
      <c r="A189" s="1"/>
      <c r="B189" s="1" t="s">
        <v>71</v>
      </c>
      <c r="C189" s="3">
        <v>5820</v>
      </c>
    </row>
    <row r="190" spans="1:3" x14ac:dyDescent="0.25">
      <c r="A190" s="1"/>
      <c r="B190" s="10" t="s">
        <v>32</v>
      </c>
      <c r="C190" s="10">
        <f>SUM(C184:C189)</f>
        <v>38470</v>
      </c>
    </row>
    <row r="191" spans="1:3" x14ac:dyDescent="0.25">
      <c r="A191" s="1"/>
      <c r="B191" s="10"/>
      <c r="C191" s="10"/>
    </row>
    <row r="192" spans="1:3" x14ac:dyDescent="0.25">
      <c r="A192" s="1">
        <v>3</v>
      </c>
      <c r="B192" s="12" t="s">
        <v>349</v>
      </c>
      <c r="C192" s="10"/>
    </row>
    <row r="193" spans="1:3" x14ac:dyDescent="0.25">
      <c r="A193" s="1"/>
      <c r="B193" s="12" t="s">
        <v>38</v>
      </c>
      <c r="C193" s="10"/>
    </row>
    <row r="194" spans="1:3" ht="17.25" x14ac:dyDescent="0.25">
      <c r="A194" s="1"/>
      <c r="B194" s="1" t="s">
        <v>16</v>
      </c>
      <c r="C194" s="1" t="s">
        <v>397</v>
      </c>
    </row>
    <row r="195" spans="1:3" ht="17.25" x14ac:dyDescent="0.25">
      <c r="A195" s="1"/>
      <c r="B195" s="9" t="s">
        <v>17</v>
      </c>
      <c r="C195" s="1" t="s">
        <v>396</v>
      </c>
    </row>
    <row r="196" spans="1:3" x14ac:dyDescent="0.25">
      <c r="A196" s="1"/>
      <c r="B196" s="4"/>
      <c r="C196" s="4"/>
    </row>
    <row r="197" spans="1:3" x14ac:dyDescent="0.25">
      <c r="A197" s="1"/>
      <c r="B197" s="12" t="s">
        <v>352</v>
      </c>
      <c r="C197" s="4" t="s">
        <v>9</v>
      </c>
    </row>
    <row r="198" spans="1:3" x14ac:dyDescent="0.25">
      <c r="A198" s="1"/>
      <c r="B198" s="1" t="s">
        <v>391</v>
      </c>
      <c r="C198" s="3">
        <v>2715</v>
      </c>
    </row>
    <row r="199" spans="1:3" x14ac:dyDescent="0.25">
      <c r="A199" s="1"/>
      <c r="B199" s="1" t="s">
        <v>392</v>
      </c>
      <c r="C199" s="3">
        <v>714</v>
      </c>
    </row>
    <row r="200" spans="1:3" x14ac:dyDescent="0.25">
      <c r="A200" s="1"/>
      <c r="B200" s="1" t="s">
        <v>393</v>
      </c>
      <c r="C200" s="3">
        <v>4155</v>
      </c>
    </row>
    <row r="201" spans="1:3" x14ac:dyDescent="0.25">
      <c r="A201" s="1"/>
      <c r="B201" s="1" t="s">
        <v>69</v>
      </c>
      <c r="C201" s="3">
        <v>1150</v>
      </c>
    </row>
    <row r="202" spans="1:3" x14ac:dyDescent="0.25">
      <c r="A202" s="1"/>
      <c r="B202" s="1" t="s">
        <v>70</v>
      </c>
      <c r="C202" s="3">
        <v>4106</v>
      </c>
    </row>
    <row r="203" spans="1:3" x14ac:dyDescent="0.25">
      <c r="A203" s="1"/>
      <c r="B203" s="10" t="s">
        <v>32</v>
      </c>
      <c r="C203" s="10">
        <f>SUM(C198:C202)</f>
        <v>12840</v>
      </c>
    </row>
    <row r="204" spans="1:3" x14ac:dyDescent="0.25">
      <c r="A204" s="1"/>
      <c r="B204" s="4"/>
      <c r="C204" s="4"/>
    </row>
    <row r="205" spans="1:3" x14ac:dyDescent="0.25">
      <c r="A205" s="1">
        <v>4</v>
      </c>
      <c r="B205" s="12" t="s">
        <v>350</v>
      </c>
      <c r="C205" s="10"/>
    </row>
    <row r="206" spans="1:3" x14ac:dyDescent="0.25">
      <c r="A206" s="1"/>
      <c r="B206" s="12" t="s">
        <v>351</v>
      </c>
      <c r="C206" s="10"/>
    </row>
    <row r="207" spans="1:3" ht="17.25" x14ac:dyDescent="0.25">
      <c r="A207" s="1"/>
      <c r="B207" s="1" t="s">
        <v>16</v>
      </c>
      <c r="C207" s="1" t="s">
        <v>398</v>
      </c>
    </row>
    <row r="208" spans="1:3" ht="17.25" x14ac:dyDescent="0.25">
      <c r="A208" s="1"/>
      <c r="B208" s="9" t="s">
        <v>17</v>
      </c>
      <c r="C208" s="1" t="s">
        <v>396</v>
      </c>
    </row>
    <row r="209" spans="1:3" x14ac:dyDescent="0.25">
      <c r="A209" s="1"/>
      <c r="B209" s="4"/>
      <c r="C209" s="4"/>
    </row>
    <row r="210" spans="1:3" x14ac:dyDescent="0.25">
      <c r="A210" s="1"/>
      <c r="B210" s="12" t="s">
        <v>353</v>
      </c>
      <c r="C210" s="4" t="s">
        <v>9</v>
      </c>
    </row>
    <row r="211" spans="1:3" x14ac:dyDescent="0.25">
      <c r="A211" s="1"/>
      <c r="B211" s="1" t="s">
        <v>391</v>
      </c>
      <c r="C211" s="3">
        <v>1320</v>
      </c>
    </row>
    <row r="212" spans="1:3" x14ac:dyDescent="0.25">
      <c r="A212" s="1"/>
      <c r="B212" s="1" t="s">
        <v>392</v>
      </c>
      <c r="C212" s="3">
        <v>6140</v>
      </c>
    </row>
    <row r="213" spans="1:3" x14ac:dyDescent="0.25">
      <c r="A213" s="1"/>
      <c r="B213" s="1" t="s">
        <v>393</v>
      </c>
      <c r="C213" s="3">
        <v>5635</v>
      </c>
    </row>
    <row r="214" spans="1:3" x14ac:dyDescent="0.25">
      <c r="A214" s="1"/>
      <c r="B214" s="1" t="s">
        <v>69</v>
      </c>
      <c r="C214" s="3">
        <v>14275</v>
      </c>
    </row>
    <row r="215" spans="1:3" x14ac:dyDescent="0.25">
      <c r="A215" s="1"/>
      <c r="B215" s="1" t="s">
        <v>70</v>
      </c>
      <c r="C215" s="3">
        <v>11872</v>
      </c>
    </row>
    <row r="216" spans="1:3" x14ac:dyDescent="0.25">
      <c r="A216" s="1"/>
      <c r="B216" s="10" t="s">
        <v>32</v>
      </c>
      <c r="C216" s="10">
        <f>SUM(C211:C215)</f>
        <v>39242</v>
      </c>
    </row>
    <row r="217" spans="1:3" x14ac:dyDescent="0.25">
      <c r="A217" s="1"/>
      <c r="B217" s="10"/>
      <c r="C217" s="10"/>
    </row>
    <row r="218" spans="1:3" x14ac:dyDescent="0.25">
      <c r="A218" s="1">
        <v>5</v>
      </c>
      <c r="B218" s="12" t="s">
        <v>354</v>
      </c>
      <c r="C218" s="10"/>
    </row>
    <row r="219" spans="1:3" x14ac:dyDescent="0.25">
      <c r="A219" s="1"/>
      <c r="B219" s="12" t="s">
        <v>355</v>
      </c>
      <c r="C219" s="10"/>
    </row>
    <row r="220" spans="1:3" ht="17.25" x14ac:dyDescent="0.25">
      <c r="A220" s="1"/>
      <c r="B220" s="1" t="s">
        <v>16</v>
      </c>
      <c r="C220" s="1" t="s">
        <v>399</v>
      </c>
    </row>
    <row r="221" spans="1:3" ht="17.25" x14ac:dyDescent="0.25">
      <c r="A221" s="1"/>
      <c r="B221" s="9" t="s">
        <v>17</v>
      </c>
      <c r="C221" s="1" t="s">
        <v>396</v>
      </c>
    </row>
    <row r="222" spans="1:3" x14ac:dyDescent="0.25">
      <c r="A222" s="1"/>
      <c r="B222" s="4"/>
      <c r="C222" s="4"/>
    </row>
    <row r="223" spans="1:3" x14ac:dyDescent="0.25">
      <c r="A223" s="1"/>
      <c r="B223" s="12" t="s">
        <v>356</v>
      </c>
      <c r="C223" s="4" t="s">
        <v>9</v>
      </c>
    </row>
    <row r="224" spans="1:3" x14ac:dyDescent="0.25">
      <c r="A224" s="1"/>
      <c r="B224" s="1" t="s">
        <v>391</v>
      </c>
      <c r="C224" s="3">
        <v>1075</v>
      </c>
    </row>
    <row r="225" spans="1:3" x14ac:dyDescent="0.25">
      <c r="A225" s="1"/>
      <c r="B225" s="1" t="s">
        <v>392</v>
      </c>
      <c r="C225" s="3">
        <v>178</v>
      </c>
    </row>
    <row r="226" spans="1:3" x14ac:dyDescent="0.25">
      <c r="A226" s="1"/>
      <c r="B226" s="1" t="s">
        <v>393</v>
      </c>
      <c r="C226" s="3">
        <v>200</v>
      </c>
    </row>
    <row r="227" spans="1:3" x14ac:dyDescent="0.25">
      <c r="A227" s="1"/>
      <c r="B227" s="1" t="s">
        <v>69</v>
      </c>
      <c r="C227" s="3">
        <v>70</v>
      </c>
    </row>
    <row r="228" spans="1:3" x14ac:dyDescent="0.25">
      <c r="A228" s="1"/>
      <c r="B228" s="1" t="s">
        <v>70</v>
      </c>
      <c r="C228" s="3">
        <v>85</v>
      </c>
    </row>
    <row r="229" spans="1:3" x14ac:dyDescent="0.25">
      <c r="A229" s="1"/>
      <c r="B229" s="10" t="s">
        <v>32</v>
      </c>
      <c r="C229" s="10">
        <f>SUM(C224:C228)</f>
        <v>1608</v>
      </c>
    </row>
    <row r="230" spans="1:3" x14ac:dyDescent="0.25">
      <c r="A230" s="1"/>
      <c r="B230" s="1"/>
      <c r="C230" s="1"/>
    </row>
    <row r="231" spans="1:3" ht="17.25" x14ac:dyDescent="0.25">
      <c r="A231" s="1"/>
      <c r="B231" s="2" t="s">
        <v>357</v>
      </c>
      <c r="C231" s="9" t="s">
        <v>400</v>
      </c>
    </row>
    <row r="232" spans="1:3" x14ac:dyDescent="0.25">
      <c r="A232" s="1"/>
      <c r="B232" s="1"/>
      <c r="C232" s="1"/>
    </row>
    <row r="233" spans="1:3" x14ac:dyDescent="0.25">
      <c r="A233" s="1">
        <v>6</v>
      </c>
      <c r="B233" s="2" t="s">
        <v>358</v>
      </c>
      <c r="C233" s="4" t="s">
        <v>9</v>
      </c>
    </row>
    <row r="234" spans="1:3" x14ac:dyDescent="0.25">
      <c r="A234" s="1"/>
      <c r="B234" s="1" t="s">
        <v>391</v>
      </c>
      <c r="C234" s="3">
        <v>1075</v>
      </c>
    </row>
    <row r="235" spans="1:3" x14ac:dyDescent="0.25">
      <c r="A235" s="1"/>
      <c r="B235" s="1" t="s">
        <v>392</v>
      </c>
      <c r="C235" s="3">
        <v>150</v>
      </c>
    </row>
    <row r="236" spans="1:3" x14ac:dyDescent="0.25">
      <c r="A236" s="1"/>
      <c r="B236" s="1" t="s">
        <v>393</v>
      </c>
      <c r="C236" s="3">
        <v>200</v>
      </c>
    </row>
    <row r="237" spans="1:3" x14ac:dyDescent="0.25">
      <c r="A237" s="1"/>
      <c r="B237" s="1" t="s">
        <v>69</v>
      </c>
      <c r="C237" s="3">
        <v>70</v>
      </c>
    </row>
    <row r="238" spans="1:3" x14ac:dyDescent="0.25">
      <c r="A238" s="1"/>
      <c r="B238" s="1" t="s">
        <v>70</v>
      </c>
      <c r="C238" s="3">
        <v>398</v>
      </c>
    </row>
    <row r="239" spans="1:3" x14ac:dyDescent="0.25">
      <c r="A239" s="1"/>
      <c r="B239" s="1" t="s">
        <v>71</v>
      </c>
      <c r="C239" s="3">
        <v>102</v>
      </c>
    </row>
    <row r="240" spans="1:3" x14ac:dyDescent="0.25">
      <c r="A240" s="1"/>
      <c r="B240" s="10" t="s">
        <v>32</v>
      </c>
      <c r="C240" s="10">
        <f>SUM(C234:C239)</f>
        <v>1995</v>
      </c>
    </row>
    <row r="241" spans="1:3" x14ac:dyDescent="0.25">
      <c r="A241" s="1"/>
      <c r="B241" s="1"/>
      <c r="C241" s="9"/>
    </row>
    <row r="242" spans="1:3" x14ac:dyDescent="0.25">
      <c r="A242" s="1">
        <v>7</v>
      </c>
      <c r="B242" s="2" t="s">
        <v>359</v>
      </c>
      <c r="C242" s="4" t="s">
        <v>9</v>
      </c>
    </row>
    <row r="243" spans="1:3" x14ac:dyDescent="0.25">
      <c r="A243" s="1"/>
      <c r="B243" s="1" t="s">
        <v>127</v>
      </c>
      <c r="C243" s="3">
        <v>8285</v>
      </c>
    </row>
    <row r="244" spans="1:3" x14ac:dyDescent="0.25">
      <c r="A244" s="1"/>
      <c r="B244" s="1" t="s">
        <v>128</v>
      </c>
      <c r="C244" s="3">
        <v>18513</v>
      </c>
    </row>
    <row r="245" spans="1:3" x14ac:dyDescent="0.25">
      <c r="A245" s="1"/>
      <c r="B245" s="1" t="s">
        <v>129</v>
      </c>
      <c r="C245" s="3">
        <v>17245</v>
      </c>
    </row>
    <row r="246" spans="1:3" x14ac:dyDescent="0.25">
      <c r="A246" s="1"/>
      <c r="B246" s="1" t="s">
        <v>130</v>
      </c>
      <c r="C246" s="3">
        <v>3885</v>
      </c>
    </row>
    <row r="247" spans="1:3" x14ac:dyDescent="0.25">
      <c r="A247" s="1"/>
      <c r="B247" s="10" t="s">
        <v>32</v>
      </c>
      <c r="C247" s="10">
        <f>SUM(C243:C246)</f>
        <v>47928</v>
      </c>
    </row>
    <row r="248" spans="1:3" x14ac:dyDescent="0.25">
      <c r="A248" s="1"/>
      <c r="B248" s="1"/>
      <c r="C248" s="9"/>
    </row>
    <row r="249" spans="1:3" x14ac:dyDescent="0.25">
      <c r="A249" s="2">
        <v>8</v>
      </c>
      <c r="B249" s="2" t="s">
        <v>194</v>
      </c>
      <c r="C249" s="4" t="s">
        <v>9</v>
      </c>
    </row>
    <row r="250" spans="1:3" x14ac:dyDescent="0.25">
      <c r="A250" s="1"/>
      <c r="B250" s="1" t="s">
        <v>164</v>
      </c>
      <c r="C250" s="3">
        <v>713</v>
      </c>
    </row>
    <row r="251" spans="1:3" x14ac:dyDescent="0.25">
      <c r="A251" s="1"/>
      <c r="B251" s="1" t="s">
        <v>381</v>
      </c>
      <c r="C251" s="3">
        <v>1371</v>
      </c>
    </row>
    <row r="252" spans="1:3" x14ac:dyDescent="0.25">
      <c r="A252" s="1"/>
      <c r="B252" s="1" t="s">
        <v>378</v>
      </c>
      <c r="C252" s="3">
        <v>1634</v>
      </c>
    </row>
    <row r="253" spans="1:3" x14ac:dyDescent="0.25">
      <c r="A253" s="1"/>
      <c r="B253" s="1" t="s">
        <v>379</v>
      </c>
      <c r="C253" s="3">
        <v>1317</v>
      </c>
    </row>
    <row r="254" spans="1:3" x14ac:dyDescent="0.25">
      <c r="A254" s="1"/>
      <c r="B254" s="1" t="s">
        <v>380</v>
      </c>
      <c r="C254" s="3">
        <v>14262</v>
      </c>
    </row>
    <row r="255" spans="1:3" x14ac:dyDescent="0.25">
      <c r="A255" s="1"/>
      <c r="B255" s="10" t="s">
        <v>32</v>
      </c>
      <c r="C255" s="10">
        <f>SUM(C250:C254)</f>
        <v>19297</v>
      </c>
    </row>
    <row r="256" spans="1:3" x14ac:dyDescent="0.25">
      <c r="A256" s="1"/>
      <c r="B256" s="1"/>
      <c r="C256" s="3"/>
    </row>
    <row r="257" spans="1:3" x14ac:dyDescent="0.25">
      <c r="A257" s="2">
        <v>9</v>
      </c>
      <c r="B257" s="2" t="s">
        <v>153</v>
      </c>
      <c r="C257" s="3"/>
    </row>
    <row r="258" spans="1:3" x14ac:dyDescent="0.25">
      <c r="A258" s="1"/>
      <c r="B258" s="1" t="s">
        <v>65</v>
      </c>
      <c r="C258" s="3"/>
    </row>
    <row r="259" spans="1:3" ht="17.25" x14ac:dyDescent="0.25">
      <c r="A259" s="1"/>
      <c r="B259" s="1" t="s">
        <v>16</v>
      </c>
      <c r="C259" s="1" t="s">
        <v>401</v>
      </c>
    </row>
    <row r="260" spans="1:3" ht="17.25" x14ac:dyDescent="0.25">
      <c r="A260" s="1"/>
      <c r="B260" s="9" t="s">
        <v>17</v>
      </c>
      <c r="C260" s="1" t="s">
        <v>402</v>
      </c>
    </row>
    <row r="261" spans="1:3" x14ac:dyDescent="0.25">
      <c r="A261" s="1"/>
      <c r="B261" s="1"/>
      <c r="C261" s="3"/>
    </row>
    <row r="262" spans="1:3" x14ac:dyDescent="0.25">
      <c r="A262" s="1"/>
      <c r="B262" s="1" t="s">
        <v>154</v>
      </c>
      <c r="C262" s="4" t="s">
        <v>9</v>
      </c>
    </row>
    <row r="263" spans="1:3" x14ac:dyDescent="0.25">
      <c r="A263" s="1"/>
      <c r="B263" s="1" t="s">
        <v>164</v>
      </c>
      <c r="C263" s="3">
        <v>1745</v>
      </c>
    </row>
    <row r="264" spans="1:3" x14ac:dyDescent="0.25">
      <c r="A264" s="1"/>
      <c r="B264" s="1"/>
      <c r="C264" s="3"/>
    </row>
    <row r="265" spans="1:3" ht="17.25" x14ac:dyDescent="0.25">
      <c r="A265" s="1"/>
      <c r="B265" s="2" t="s">
        <v>157</v>
      </c>
      <c r="C265" s="12" t="s">
        <v>205</v>
      </c>
    </row>
    <row r="266" spans="1:3" x14ac:dyDescent="0.25">
      <c r="A266" s="1"/>
      <c r="B266" s="1"/>
      <c r="C266" s="9"/>
    </row>
    <row r="267" spans="1:3" x14ac:dyDescent="0.25">
      <c r="A267" s="1">
        <v>10</v>
      </c>
      <c r="B267" s="2" t="s">
        <v>360</v>
      </c>
      <c r="C267" s="4" t="s">
        <v>9</v>
      </c>
    </row>
    <row r="268" spans="1:3" x14ac:dyDescent="0.25">
      <c r="A268" s="1"/>
      <c r="B268" s="1" t="s">
        <v>403</v>
      </c>
      <c r="C268" s="3">
        <v>15040</v>
      </c>
    </row>
    <row r="269" spans="1:3" x14ac:dyDescent="0.25">
      <c r="A269" s="1"/>
      <c r="B269" s="1"/>
      <c r="C269" s="3"/>
    </row>
    <row r="270" spans="1:3" x14ac:dyDescent="0.25">
      <c r="A270" s="1">
        <v>11</v>
      </c>
      <c r="B270" s="2" t="s">
        <v>361</v>
      </c>
      <c r="C270" s="4" t="s">
        <v>9</v>
      </c>
    </row>
    <row r="271" spans="1:3" x14ac:dyDescent="0.25">
      <c r="A271" s="1"/>
      <c r="B271" s="1" t="s">
        <v>304</v>
      </c>
      <c r="C271" s="3">
        <v>22945</v>
      </c>
    </row>
    <row r="272" spans="1:3" x14ac:dyDescent="0.25">
      <c r="A272" s="1"/>
      <c r="B272" s="1" t="s">
        <v>305</v>
      </c>
      <c r="C272" s="3">
        <v>5619</v>
      </c>
    </row>
    <row r="273" spans="1:3" x14ac:dyDescent="0.25">
      <c r="A273" s="1"/>
      <c r="B273" s="1" t="s">
        <v>306</v>
      </c>
      <c r="C273" s="3">
        <v>8422</v>
      </c>
    </row>
    <row r="274" spans="1:3" x14ac:dyDescent="0.25">
      <c r="A274" s="1"/>
      <c r="B274" s="1" t="s">
        <v>404</v>
      </c>
      <c r="C274" s="3">
        <v>25870</v>
      </c>
    </row>
    <row r="275" spans="1:3" x14ac:dyDescent="0.25">
      <c r="A275" s="1"/>
      <c r="B275" s="1" t="s">
        <v>405</v>
      </c>
      <c r="C275" s="3">
        <v>18102</v>
      </c>
    </row>
    <row r="276" spans="1:3" x14ac:dyDescent="0.25">
      <c r="A276" s="1"/>
      <c r="B276" s="10" t="s">
        <v>32</v>
      </c>
      <c r="C276" s="10">
        <f>SUM(C271:C275)</f>
        <v>80958</v>
      </c>
    </row>
    <row r="277" spans="1:3" ht="17.25" x14ac:dyDescent="0.25">
      <c r="A277" s="1"/>
      <c r="B277" s="2" t="s">
        <v>149</v>
      </c>
      <c r="C277" s="12" t="s">
        <v>139</v>
      </c>
    </row>
    <row r="278" spans="1:3" x14ac:dyDescent="0.25">
      <c r="A278" s="1"/>
      <c r="B278" s="10"/>
      <c r="C278" s="10"/>
    </row>
    <row r="279" spans="1:3" x14ac:dyDescent="0.25">
      <c r="A279" s="1">
        <v>12</v>
      </c>
      <c r="B279" s="2" t="s">
        <v>151</v>
      </c>
      <c r="C279" s="4" t="s">
        <v>9</v>
      </c>
    </row>
    <row r="280" spans="1:3" x14ac:dyDescent="0.25">
      <c r="A280" s="1"/>
      <c r="B280" s="1" t="s">
        <v>371</v>
      </c>
      <c r="C280" s="4">
        <v>225</v>
      </c>
    </row>
    <row r="281" spans="1:3" x14ac:dyDescent="0.25">
      <c r="A281" s="1"/>
      <c r="B281" s="1" t="s">
        <v>372</v>
      </c>
      <c r="C281" s="4">
        <v>109</v>
      </c>
    </row>
    <row r="282" spans="1:3" x14ac:dyDescent="0.25">
      <c r="A282" s="1"/>
      <c r="B282" s="1" t="s">
        <v>373</v>
      </c>
      <c r="C282" s="8">
        <v>23198</v>
      </c>
    </row>
    <row r="283" spans="1:3" x14ac:dyDescent="0.25">
      <c r="A283" s="1"/>
      <c r="B283" s="10" t="s">
        <v>32</v>
      </c>
      <c r="C283" s="10">
        <f>SUM(C280:C282)</f>
        <v>23532</v>
      </c>
    </row>
    <row r="284" spans="1:3" x14ac:dyDescent="0.25">
      <c r="A284" s="1"/>
      <c r="B284" s="10"/>
      <c r="C284" s="10"/>
    </row>
    <row r="285" spans="1:3" ht="17.25" x14ac:dyDescent="0.25">
      <c r="A285" s="1"/>
      <c r="B285" s="2" t="s">
        <v>25</v>
      </c>
      <c r="C285" s="12" t="s">
        <v>406</v>
      </c>
    </row>
    <row r="286" spans="1:3" x14ac:dyDescent="0.25">
      <c r="A286" s="1"/>
      <c r="B286" s="10"/>
      <c r="C286" s="10"/>
    </row>
    <row r="287" spans="1:3" x14ac:dyDescent="0.25">
      <c r="A287" s="1">
        <v>12</v>
      </c>
      <c r="B287" s="2" t="s">
        <v>197</v>
      </c>
      <c r="C287" s="4" t="s">
        <v>9</v>
      </c>
    </row>
    <row r="288" spans="1:3" x14ac:dyDescent="0.25">
      <c r="A288" s="1"/>
      <c r="B288" s="1" t="s">
        <v>130</v>
      </c>
      <c r="C288" s="3">
        <v>13915</v>
      </c>
    </row>
    <row r="289" spans="1:3" x14ac:dyDescent="0.25">
      <c r="A289" s="1"/>
      <c r="B289" s="1" t="s">
        <v>131</v>
      </c>
      <c r="C289" s="3">
        <v>15975</v>
      </c>
    </row>
    <row r="290" spans="1:3" x14ac:dyDescent="0.25">
      <c r="A290" s="1"/>
      <c r="B290" s="1" t="s">
        <v>288</v>
      </c>
      <c r="C290" s="3">
        <v>15460</v>
      </c>
    </row>
    <row r="291" spans="1:3" x14ac:dyDescent="0.25">
      <c r="A291" s="1"/>
      <c r="B291" s="1" t="s">
        <v>289</v>
      </c>
      <c r="C291" s="3">
        <v>9065</v>
      </c>
    </row>
    <row r="292" spans="1:3" x14ac:dyDescent="0.25">
      <c r="A292" s="1"/>
      <c r="B292" s="10" t="s">
        <v>32</v>
      </c>
      <c r="C292" s="10">
        <f>SUM(C288:C291)</f>
        <v>54415</v>
      </c>
    </row>
    <row r="293" spans="1:3" x14ac:dyDescent="0.25">
      <c r="A293" s="1"/>
      <c r="B293" s="1"/>
      <c r="C293" s="9"/>
    </row>
    <row r="294" spans="1:3" x14ac:dyDescent="0.25">
      <c r="A294" s="1">
        <v>13</v>
      </c>
      <c r="B294" s="2" t="s">
        <v>201</v>
      </c>
      <c r="C294" s="4" t="s">
        <v>9</v>
      </c>
    </row>
    <row r="295" spans="1:3" x14ac:dyDescent="0.25">
      <c r="A295" s="1"/>
      <c r="B295" s="1" t="s">
        <v>407</v>
      </c>
      <c r="C295" s="3">
        <v>4545</v>
      </c>
    </row>
    <row r="296" spans="1:3" x14ac:dyDescent="0.25">
      <c r="A296" s="1"/>
      <c r="B296" s="1" t="s">
        <v>408</v>
      </c>
      <c r="C296" s="3">
        <v>1960</v>
      </c>
    </row>
    <row r="297" spans="1:3" x14ac:dyDescent="0.25">
      <c r="A297" s="1"/>
      <c r="B297" s="1" t="s">
        <v>409</v>
      </c>
      <c r="C297" s="3">
        <v>1230</v>
      </c>
    </row>
    <row r="298" spans="1:3" x14ac:dyDescent="0.25">
      <c r="A298" s="1"/>
      <c r="B298" s="10" t="s">
        <v>32</v>
      </c>
      <c r="C298" s="10">
        <f>SUM(C295:C297)</f>
        <v>7735</v>
      </c>
    </row>
    <row r="299" spans="1:3" x14ac:dyDescent="0.25">
      <c r="A299" s="1"/>
      <c r="B299" s="1"/>
      <c r="C299" s="1"/>
    </row>
    <row r="300" spans="1:3" ht="17.25" x14ac:dyDescent="0.25">
      <c r="A300" s="1"/>
      <c r="B300" s="2" t="s">
        <v>204</v>
      </c>
      <c r="C300" s="12" t="s">
        <v>415</v>
      </c>
    </row>
    <row r="301" spans="1:3" x14ac:dyDescent="0.25">
      <c r="A301" s="1"/>
      <c r="B301" s="1"/>
      <c r="C301" s="1"/>
    </row>
    <row r="302" spans="1:3" x14ac:dyDescent="0.25">
      <c r="A302" s="1">
        <v>14</v>
      </c>
      <c r="B302" s="2" t="s">
        <v>206</v>
      </c>
      <c r="C302" s="4" t="s">
        <v>9</v>
      </c>
    </row>
    <row r="303" spans="1:3" x14ac:dyDescent="0.25">
      <c r="A303" s="1"/>
      <c r="B303" s="1" t="s">
        <v>410</v>
      </c>
      <c r="C303" s="3">
        <v>1075</v>
      </c>
    </row>
    <row r="304" spans="1:3" x14ac:dyDescent="0.25">
      <c r="A304" s="1"/>
      <c r="B304" s="1" t="s">
        <v>411</v>
      </c>
      <c r="C304" s="3">
        <v>2460</v>
      </c>
    </row>
    <row r="305" spans="1:3" x14ac:dyDescent="0.25">
      <c r="A305" s="1"/>
      <c r="B305" s="1" t="s">
        <v>412</v>
      </c>
      <c r="C305" s="3">
        <v>4285</v>
      </c>
    </row>
    <row r="306" spans="1:3" x14ac:dyDescent="0.25">
      <c r="A306" s="1"/>
      <c r="B306" s="1" t="s">
        <v>413</v>
      </c>
      <c r="C306" s="3">
        <v>2678</v>
      </c>
    </row>
    <row r="307" spans="1:3" x14ac:dyDescent="0.25">
      <c r="A307" s="1"/>
      <c r="B307" s="1" t="s">
        <v>414</v>
      </c>
      <c r="C307" s="3">
        <v>41120</v>
      </c>
    </row>
    <row r="308" spans="1:3" x14ac:dyDescent="0.25">
      <c r="A308" s="1"/>
      <c r="B308" s="10" t="s">
        <v>32</v>
      </c>
      <c r="C308" s="10">
        <f>SUM(C303:C307)</f>
        <v>51618</v>
      </c>
    </row>
    <row r="309" spans="1:3" x14ac:dyDescent="0.25">
      <c r="A309" s="1"/>
      <c r="B309" s="10"/>
      <c r="C309" s="10"/>
    </row>
    <row r="310" spans="1:3" ht="17.25" x14ac:dyDescent="0.25">
      <c r="A310" s="1"/>
      <c r="B310" s="2" t="s">
        <v>207</v>
      </c>
      <c r="C310" s="2" t="s">
        <v>387</v>
      </c>
    </row>
    <row r="311" spans="1:3" x14ac:dyDescent="0.25">
      <c r="A311" s="1"/>
      <c r="B311" s="1"/>
      <c r="C311" s="1"/>
    </row>
    <row r="312" spans="1:3" x14ac:dyDescent="0.25">
      <c r="A312" s="1">
        <v>15</v>
      </c>
      <c r="B312" s="2" t="s">
        <v>203</v>
      </c>
      <c r="C312" s="4" t="s">
        <v>9</v>
      </c>
    </row>
    <row r="313" spans="1:3" x14ac:dyDescent="0.25">
      <c r="A313" s="1"/>
      <c r="B313" s="1" t="s">
        <v>219</v>
      </c>
      <c r="C313" s="3">
        <v>7775</v>
      </c>
    </row>
    <row r="314" spans="1:3" x14ac:dyDescent="0.25">
      <c r="A314" s="1"/>
      <c r="B314" s="1" t="s">
        <v>220</v>
      </c>
      <c r="C314" s="3">
        <v>14009</v>
      </c>
    </row>
    <row r="315" spans="1:3" x14ac:dyDescent="0.25">
      <c r="A315" s="1"/>
      <c r="B315" s="1" t="s">
        <v>221</v>
      </c>
      <c r="C315" s="3">
        <v>2625</v>
      </c>
    </row>
    <row r="316" spans="1:3" x14ac:dyDescent="0.25">
      <c r="A316" s="1"/>
      <c r="B316" s="1" t="s">
        <v>222</v>
      </c>
      <c r="C316" s="3">
        <v>26005</v>
      </c>
    </row>
    <row r="317" spans="1:3" x14ac:dyDescent="0.25">
      <c r="A317" s="1"/>
      <c r="B317" s="1" t="s">
        <v>223</v>
      </c>
      <c r="C317" s="3">
        <v>24770</v>
      </c>
    </row>
    <row r="318" spans="1:3" x14ac:dyDescent="0.25">
      <c r="A318" s="1"/>
      <c r="B318" s="1" t="s">
        <v>416</v>
      </c>
      <c r="C318" s="3">
        <v>42520</v>
      </c>
    </row>
    <row r="319" spans="1:3" x14ac:dyDescent="0.25">
      <c r="A319" s="1"/>
      <c r="B319" s="10" t="s">
        <v>32</v>
      </c>
      <c r="C319" s="10">
        <f>SUM(C313:C318)</f>
        <v>117704</v>
      </c>
    </row>
    <row r="320" spans="1:3" x14ac:dyDescent="0.25">
      <c r="A320" s="1"/>
      <c r="B320" s="2"/>
      <c r="C320" s="2"/>
    </row>
    <row r="321" spans="1:3" x14ac:dyDescent="0.25">
      <c r="A321" s="1">
        <v>16</v>
      </c>
      <c r="B321" s="2" t="s">
        <v>215</v>
      </c>
      <c r="C321" s="4" t="s">
        <v>9</v>
      </c>
    </row>
    <row r="322" spans="1:3" x14ac:dyDescent="0.25">
      <c r="A322" s="1"/>
      <c r="B322" s="1" t="s">
        <v>417</v>
      </c>
      <c r="C322" s="3">
        <v>15205</v>
      </c>
    </row>
    <row r="323" spans="1:3" x14ac:dyDescent="0.25">
      <c r="A323" s="1"/>
      <c r="B323" s="1" t="s">
        <v>418</v>
      </c>
      <c r="C323" s="3">
        <v>4998</v>
      </c>
    </row>
    <row r="324" spans="1:3" x14ac:dyDescent="0.25">
      <c r="A324" s="1"/>
      <c r="B324" s="10" t="s">
        <v>32</v>
      </c>
      <c r="C324" s="10">
        <f>SUM(C322:C323)</f>
        <v>20203</v>
      </c>
    </row>
    <row r="325" spans="1:3" x14ac:dyDescent="0.25">
      <c r="A325" s="1"/>
      <c r="B325" s="1"/>
      <c r="C325" s="4"/>
    </row>
    <row r="326" spans="1:3" x14ac:dyDescent="0.25">
      <c r="A326" s="1">
        <v>17</v>
      </c>
      <c r="B326" s="2" t="s">
        <v>224</v>
      </c>
      <c r="C326" s="4" t="s">
        <v>9</v>
      </c>
    </row>
    <row r="327" spans="1:3" x14ac:dyDescent="0.25">
      <c r="A327" s="1"/>
      <c r="B327" s="1" t="s">
        <v>409</v>
      </c>
      <c r="C327" s="3">
        <v>250</v>
      </c>
    </row>
    <row r="328" spans="1:3" x14ac:dyDescent="0.25">
      <c r="A328" s="1"/>
      <c r="B328" s="1" t="s">
        <v>419</v>
      </c>
      <c r="C328" s="3">
        <v>3220</v>
      </c>
    </row>
    <row r="329" spans="1:3" x14ac:dyDescent="0.25">
      <c r="A329" s="1"/>
      <c r="B329" s="10" t="s">
        <v>32</v>
      </c>
      <c r="C329" s="10">
        <f>SUM(C327:C328)</f>
        <v>3470</v>
      </c>
    </row>
    <row r="330" spans="1:3" x14ac:dyDescent="0.25">
      <c r="A330" s="1"/>
      <c r="B330" s="10"/>
      <c r="C330" s="10"/>
    </row>
    <row r="331" spans="1:3" ht="17.25" x14ac:dyDescent="0.25">
      <c r="A331" s="1"/>
      <c r="B331" s="2" t="s">
        <v>22</v>
      </c>
      <c r="C331" s="12" t="s">
        <v>387</v>
      </c>
    </row>
    <row r="332" spans="1:3" x14ac:dyDescent="0.25">
      <c r="A332" s="1"/>
      <c r="B332" s="1"/>
      <c r="C332" s="4"/>
    </row>
    <row r="333" spans="1:3" x14ac:dyDescent="0.25">
      <c r="A333" s="1">
        <v>18</v>
      </c>
      <c r="B333" s="2" t="s">
        <v>225</v>
      </c>
      <c r="C333" s="4" t="s">
        <v>9</v>
      </c>
    </row>
    <row r="334" spans="1:3" x14ac:dyDescent="0.25">
      <c r="A334" s="1"/>
      <c r="B334" s="1" t="s">
        <v>420</v>
      </c>
      <c r="C334" s="3">
        <v>6340</v>
      </c>
    </row>
    <row r="335" spans="1:3" x14ac:dyDescent="0.25">
      <c r="A335" s="1"/>
      <c r="B335" s="1" t="s">
        <v>421</v>
      </c>
      <c r="C335" s="3">
        <v>55155</v>
      </c>
    </row>
    <row r="336" spans="1:3" x14ac:dyDescent="0.25">
      <c r="A336" s="1"/>
      <c r="B336" s="1" t="s">
        <v>422</v>
      </c>
      <c r="C336" s="3">
        <v>28260</v>
      </c>
    </row>
    <row r="337" spans="1:3" x14ac:dyDescent="0.25">
      <c r="A337" s="1"/>
      <c r="B337" s="1" t="s">
        <v>423</v>
      </c>
      <c r="C337" s="3">
        <v>14460</v>
      </c>
    </row>
    <row r="338" spans="1:3" x14ac:dyDescent="0.25">
      <c r="A338" s="1"/>
      <c r="B338" s="1" t="s">
        <v>424</v>
      </c>
      <c r="C338" s="3">
        <v>6310</v>
      </c>
    </row>
    <row r="339" spans="1:3" x14ac:dyDescent="0.25">
      <c r="A339" s="1"/>
      <c r="B339" s="10" t="s">
        <v>32</v>
      </c>
      <c r="C339" s="10">
        <f>SUM(C334:C338)</f>
        <v>110525</v>
      </c>
    </row>
    <row r="340" spans="1:3" x14ac:dyDescent="0.25">
      <c r="A340" s="1"/>
      <c r="B340" s="2"/>
      <c r="C340" s="4"/>
    </row>
    <row r="341" spans="1:3" ht="17.25" x14ac:dyDescent="0.25">
      <c r="A341" s="1"/>
      <c r="B341" s="2" t="s">
        <v>21</v>
      </c>
      <c r="C341" s="12" t="s">
        <v>388</v>
      </c>
    </row>
    <row r="342" spans="1:3" x14ac:dyDescent="0.25">
      <c r="A342" s="1"/>
      <c r="B342" s="1"/>
      <c r="C342" s="8"/>
    </row>
    <row r="343" spans="1:3" x14ac:dyDescent="0.25">
      <c r="A343" s="1">
        <v>19</v>
      </c>
      <c r="B343" s="2" t="s">
        <v>141</v>
      </c>
      <c r="C343" s="4" t="s">
        <v>9</v>
      </c>
    </row>
    <row r="344" spans="1:3" x14ac:dyDescent="0.25">
      <c r="A344" s="1"/>
      <c r="B344" s="1" t="s">
        <v>298</v>
      </c>
      <c r="C344" s="3">
        <v>2835</v>
      </c>
    </row>
    <row r="345" spans="1:3" x14ac:dyDescent="0.25">
      <c r="A345" s="1"/>
      <c r="B345" s="1"/>
      <c r="C345" s="8"/>
    </row>
    <row r="346" spans="1:3" x14ac:dyDescent="0.25">
      <c r="A346" s="1">
        <v>20</v>
      </c>
      <c r="B346" s="2" t="s">
        <v>227</v>
      </c>
      <c r="C346" s="4" t="s">
        <v>9</v>
      </c>
    </row>
    <row r="347" spans="1:3" x14ac:dyDescent="0.25">
      <c r="A347" s="1"/>
      <c r="B347" s="1" t="s">
        <v>425</v>
      </c>
      <c r="C347" s="3">
        <v>230</v>
      </c>
    </row>
    <row r="348" spans="1:3" x14ac:dyDescent="0.25">
      <c r="A348" s="1"/>
      <c r="B348" s="1" t="s">
        <v>417</v>
      </c>
      <c r="C348" s="3">
        <v>1955</v>
      </c>
    </row>
    <row r="349" spans="1:3" x14ac:dyDescent="0.25">
      <c r="A349" s="1"/>
      <c r="B349" s="1" t="s">
        <v>418</v>
      </c>
      <c r="C349" s="3">
        <v>3415</v>
      </c>
    </row>
    <row r="350" spans="1:3" x14ac:dyDescent="0.25">
      <c r="A350" s="1"/>
      <c r="B350" s="10" t="s">
        <v>32</v>
      </c>
      <c r="C350" s="10">
        <f>SUM(C347:C349)</f>
        <v>5600</v>
      </c>
    </row>
    <row r="351" spans="1:3" x14ac:dyDescent="0.25">
      <c r="A351" s="1"/>
      <c r="B351" s="2"/>
      <c r="C351" s="4"/>
    </row>
    <row r="352" spans="1:3" ht="17.25" x14ac:dyDescent="0.25">
      <c r="A352" s="1"/>
      <c r="B352" s="2" t="s">
        <v>20</v>
      </c>
      <c r="C352" s="12" t="s">
        <v>205</v>
      </c>
    </row>
    <row r="353" spans="1:3" x14ac:dyDescent="0.25">
      <c r="A353" s="1"/>
      <c r="B353" s="1"/>
      <c r="C353" s="1"/>
    </row>
    <row r="354" spans="1:3" x14ac:dyDescent="0.25">
      <c r="A354" s="1">
        <v>21</v>
      </c>
      <c r="B354" s="2" t="s">
        <v>232</v>
      </c>
      <c r="C354" s="4" t="s">
        <v>9</v>
      </c>
    </row>
    <row r="355" spans="1:3" x14ac:dyDescent="0.25">
      <c r="A355" s="1"/>
      <c r="B355" s="1" t="s">
        <v>426</v>
      </c>
      <c r="C355" s="3">
        <v>620</v>
      </c>
    </row>
    <row r="356" spans="1:3" x14ac:dyDescent="0.25">
      <c r="A356" s="1"/>
      <c r="B356" s="1" t="s">
        <v>427</v>
      </c>
      <c r="C356" s="3">
        <v>455</v>
      </c>
    </row>
    <row r="357" spans="1:3" x14ac:dyDescent="0.25">
      <c r="A357" s="1"/>
      <c r="B357" s="1" t="s">
        <v>428</v>
      </c>
      <c r="C357" s="3">
        <v>475</v>
      </c>
    </row>
    <row r="358" spans="1:3" x14ac:dyDescent="0.25">
      <c r="A358" s="1"/>
      <c r="B358" s="1" t="s">
        <v>425</v>
      </c>
      <c r="C358" s="3">
        <v>520</v>
      </c>
    </row>
    <row r="359" spans="1:3" x14ac:dyDescent="0.25">
      <c r="A359" s="1"/>
      <c r="B359" s="1" t="s">
        <v>417</v>
      </c>
      <c r="C359" s="3">
        <v>32685</v>
      </c>
    </row>
    <row r="360" spans="1:3" x14ac:dyDescent="0.25">
      <c r="A360" s="1"/>
      <c r="B360" s="1" t="s">
        <v>418</v>
      </c>
      <c r="C360" s="3">
        <v>34375</v>
      </c>
    </row>
    <row r="361" spans="1:3" x14ac:dyDescent="0.25">
      <c r="A361" s="1"/>
      <c r="B361" s="10" t="s">
        <v>32</v>
      </c>
      <c r="C361" s="10">
        <f>SUM(C355:C360)</f>
        <v>69130</v>
      </c>
    </row>
    <row r="362" spans="1:3" x14ac:dyDescent="0.25">
      <c r="A362" s="1"/>
      <c r="B362" s="2"/>
      <c r="C362" s="4"/>
    </row>
    <row r="363" spans="1:3" ht="17.25" x14ac:dyDescent="0.25">
      <c r="A363" s="1"/>
      <c r="B363" s="2" t="s">
        <v>231</v>
      </c>
      <c r="C363" s="2" t="s">
        <v>205</v>
      </c>
    </row>
  </sheetData>
  <mergeCells count="4">
    <mergeCell ref="A1:C1"/>
    <mergeCell ref="B2:C2"/>
    <mergeCell ref="B3:C3"/>
    <mergeCell ref="B164:C16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OPTION 01</vt:lpstr>
      <vt:lpstr>OPTION 02</vt:lpstr>
      <vt:lpstr>OPTION 03</vt:lpstr>
      <vt:lpstr>OPTION 04</vt:lpstr>
      <vt:lpstr>OPTION 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 Project_26</dc:creator>
  <cp:lastModifiedBy>ICE Project_26</cp:lastModifiedBy>
  <dcterms:created xsi:type="dcterms:W3CDTF">2025-02-02T09:44:22Z</dcterms:created>
  <dcterms:modified xsi:type="dcterms:W3CDTF">2026-09-27T08:44:04Z</dcterms:modified>
</cp:coreProperties>
</file>